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woom\Documents\"/>
    </mc:Choice>
  </mc:AlternateContent>
  <xr:revisionPtr revIDLastSave="0" documentId="13_ncr:1_{A04C0996-0306-46C8-8694-F33797ED2F3A}" xr6:coauthVersionLast="47" xr6:coauthVersionMax="47" xr10:uidLastSave="{00000000-0000-0000-0000-000000000000}"/>
  <bookViews>
    <workbookView xWindow="-90" yWindow="-16320" windowWidth="29040" windowHeight="15720" xr2:uid="{B154EDF2-8526-4431-9E5A-87271EBFCFC9}"/>
  </bookViews>
  <sheets>
    <sheet name="DASHBOARD" sheetId="1" r:id="rId1"/>
    <sheet name="1. 수신잔고" sheetId="2" r:id="rId2"/>
    <sheet name="2. 운용자산" sheetId="3" r:id="rId3"/>
  </sheets>
  <definedNames>
    <definedName name="_xlnm.Print_Area" localSheetId="0">DASHBOARD!$A$1:$U$33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" i="1" l="1"/>
  <c r="O8" i="1"/>
  <c r="I29" i="1" a="1"/>
  <c r="I29" i="1" s="1"/>
  <c r="I28" i="1" a="1"/>
  <c r="I28" i="1" s="1"/>
  <c r="I27" i="1" a="1"/>
  <c r="I27" i="1" s="1"/>
  <c r="I25" i="1" a="1"/>
  <c r="I25" i="1" s="1"/>
  <c r="I24" i="1" a="1"/>
  <c r="I24" i="1" s="1"/>
  <c r="I22" i="1" a="1"/>
  <c r="I22" i="1" s="1"/>
  <c r="I21" i="1" a="1"/>
  <c r="I21" i="1" s="1"/>
  <c r="I20" i="1" a="1"/>
  <c r="I20" i="1" s="1"/>
  <c r="I19" i="1" a="1"/>
  <c r="I19" i="1" s="1"/>
  <c r="I15" i="1"/>
  <c r="H26" i="1"/>
  <c r="H23" i="1"/>
  <c r="H18" i="1"/>
  <c r="H15" i="1"/>
  <c r="I26" i="1" l="1"/>
  <c r="I23" i="1"/>
  <c r="I18" i="1"/>
  <c r="H14" i="1"/>
  <c r="H29" i="1" a="1"/>
  <c r="H29" i="1" s="1"/>
  <c r="H28" i="1" a="1"/>
  <c r="H28" i="1" s="1"/>
  <c r="H27" i="1" a="1"/>
  <c r="H27" i="1" s="1"/>
  <c r="H25" i="1" a="1"/>
  <c r="H25" i="1" s="1"/>
  <c r="H24" i="1" a="1"/>
  <c r="H24" i="1" s="1"/>
  <c r="H22" i="1" a="1"/>
  <c r="H22" i="1" s="1"/>
  <c r="H21" i="1" a="1"/>
  <c r="H21" i="1" s="1"/>
  <c r="H20" i="1" a="1"/>
  <c r="H20" i="1" s="1"/>
  <c r="H19" i="1" a="1"/>
  <c r="H19" i="1" s="1"/>
  <c r="F17" i="1"/>
  <c r="F16" i="1"/>
  <c r="I14" i="1" l="1"/>
  <c r="G8" i="1" l="1"/>
  <c r="T9" i="1"/>
  <c r="S9" i="1"/>
  <c r="Q9" i="1"/>
  <c r="P9" i="1"/>
  <c r="O9" i="1"/>
  <c r="F29" i="1"/>
  <c r="F28" i="1"/>
  <c r="F27" i="1"/>
  <c r="F25" i="1"/>
  <c r="F24" i="1"/>
  <c r="F22" i="1"/>
  <c r="F21" i="1"/>
  <c r="F20" i="1"/>
  <c r="F19" i="1"/>
  <c r="F15" i="1"/>
  <c r="A32" i="2"/>
  <c r="B32" i="2" s="1"/>
  <c r="A31" i="2"/>
  <c r="B31" i="2" s="1"/>
  <c r="A30" i="2"/>
  <c r="B30" i="2" s="1"/>
  <c r="A29" i="2"/>
  <c r="B29" i="2" s="1"/>
  <c r="A28" i="2"/>
  <c r="B28" i="2" s="1"/>
  <c r="A27" i="2"/>
  <c r="B27" i="2" s="1"/>
  <c r="A26" i="2"/>
  <c r="B26" i="2" s="1"/>
  <c r="A25" i="2"/>
  <c r="B25" i="2" s="1"/>
  <c r="A24" i="2"/>
  <c r="B24" i="2" s="1"/>
  <c r="A23" i="2"/>
  <c r="B23" i="2" s="1"/>
  <c r="A22" i="2"/>
  <c r="B22" i="2" s="1"/>
  <c r="A21" i="2"/>
  <c r="B21" i="2" s="1"/>
  <c r="A20" i="2"/>
  <c r="B20" i="2" s="1"/>
  <c r="A19" i="2"/>
  <c r="B19" i="2" s="1"/>
  <c r="A18" i="2"/>
  <c r="B18" i="2" s="1"/>
  <c r="A17" i="2"/>
  <c r="B17" i="2" s="1"/>
  <c r="A16" i="2"/>
  <c r="B16" i="2" s="1"/>
  <c r="A15" i="2"/>
  <c r="B15" i="2" s="1"/>
  <c r="A14" i="2"/>
  <c r="B14" i="2" s="1"/>
  <c r="A13" i="2"/>
  <c r="B13" i="2" s="1"/>
  <c r="A12" i="2"/>
  <c r="B12" i="2" s="1"/>
  <c r="A11" i="2"/>
  <c r="B11" i="2" s="1"/>
  <c r="A10" i="2"/>
  <c r="B10" i="2" s="1"/>
  <c r="A9" i="2"/>
  <c r="B9" i="2" s="1"/>
  <c r="A8" i="2"/>
  <c r="B8" i="2" s="1"/>
  <c r="A7" i="2"/>
  <c r="B7" i="2" s="1"/>
  <c r="A6" i="2"/>
  <c r="B6" i="2" s="1"/>
  <c r="P22" i="1" l="1"/>
  <c r="S19" i="1" a="1"/>
  <c r="S19" i="1" s="1"/>
  <c r="S17" i="1" a="1"/>
  <c r="S17" i="1" s="1"/>
  <c r="S15" i="1" a="1"/>
  <c r="S15" i="1" s="1"/>
  <c r="S18" i="1" a="1"/>
  <c r="S18" i="1" s="1"/>
  <c r="S22" i="1" a="1"/>
  <c r="S22" i="1" s="1"/>
  <c r="S21" i="1" a="1"/>
  <c r="S21" i="1" s="1"/>
  <c r="S20" i="1" a="1"/>
  <c r="S20" i="1" s="1"/>
  <c r="Q17" i="1"/>
  <c r="R19" i="1"/>
  <c r="P15" i="1"/>
  <c r="Q18" i="1"/>
  <c r="R20" i="1"/>
  <c r="P17" i="1"/>
  <c r="Q19" i="1"/>
  <c r="R21" i="1"/>
  <c r="P18" i="1"/>
  <c r="Q20" i="1"/>
  <c r="R22" i="1"/>
  <c r="P19" i="1"/>
  <c r="Q21" i="1"/>
  <c r="Q15" i="1"/>
  <c r="P20" i="1"/>
  <c r="Q22" i="1"/>
  <c r="R15" i="1"/>
  <c r="P21" i="1"/>
  <c r="R17" i="1"/>
  <c r="R18" i="1"/>
  <c r="F26" i="1"/>
  <c r="F23" i="1"/>
  <c r="F18" i="1"/>
  <c r="F14" i="1" s="1"/>
  <c r="R16" i="1" l="1"/>
  <c r="R14" i="1" s="1"/>
  <c r="Q16" i="1"/>
  <c r="Q14" i="1" s="1"/>
  <c r="P16" i="1"/>
  <c r="P14" i="1" s="1"/>
  <c r="E8" i="1" s="1"/>
  <c r="S16" i="1" l="1"/>
  <c r="S14" i="1" s="1"/>
  <c r="H8" i="1" s="1"/>
  <c r="J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<sst xmlns="http://schemas.openxmlformats.org/spreadsheetml/2006/main" count="1035" uniqueCount="311">
  <si>
    <t>□ 운용 현황</t>
    <phoneticPr fontId="2" type="noConversion"/>
  </si>
  <si>
    <t>구분</t>
    <phoneticPr fontId="2" type="noConversion"/>
  </si>
  <si>
    <t>수익률(연)
(평가제외)</t>
    <phoneticPr fontId="2" type="noConversion"/>
  </si>
  <si>
    <t>말잔</t>
    <phoneticPr fontId="2" type="noConversion"/>
  </si>
  <si>
    <t>평잔</t>
    <phoneticPr fontId="2" type="noConversion"/>
  </si>
  <si>
    <t>운용자산 총계</t>
    <phoneticPr fontId="2" type="noConversion"/>
  </si>
  <si>
    <t>유동성자산</t>
    <phoneticPr fontId="2" type="noConversion"/>
  </si>
  <si>
    <t>현금성자산</t>
    <phoneticPr fontId="2" type="noConversion"/>
  </si>
  <si>
    <t>기타유동성자산</t>
    <phoneticPr fontId="2" type="noConversion"/>
  </si>
  <si>
    <t>기업금융관련자산</t>
    <phoneticPr fontId="2" type="noConversion"/>
  </si>
  <si>
    <t>CP/STB</t>
    <phoneticPr fontId="2" type="noConversion"/>
  </si>
  <si>
    <t>채권</t>
    <phoneticPr fontId="2" type="noConversion"/>
  </si>
  <si>
    <t>기업대출</t>
    <phoneticPr fontId="2" type="noConversion"/>
  </si>
  <si>
    <t>출자</t>
    <phoneticPr fontId="2" type="noConversion"/>
  </si>
  <si>
    <t>부동산관련자산</t>
    <phoneticPr fontId="2" type="noConversion"/>
  </si>
  <si>
    <t>유동화증권</t>
    <phoneticPr fontId="2" type="noConversion"/>
  </si>
  <si>
    <t>부동산</t>
    <phoneticPr fontId="2" type="noConversion"/>
  </si>
  <si>
    <t>기타자산</t>
    <phoneticPr fontId="2" type="noConversion"/>
  </si>
  <si>
    <t>운용자산(BS금액 기준)</t>
    <phoneticPr fontId="2" type="noConversion"/>
  </si>
  <si>
    <t>□ 수신 현황</t>
    <phoneticPr fontId="2" type="noConversion"/>
  </si>
  <si>
    <t>(단위: 억원, %)</t>
    <phoneticPr fontId="2" type="noConversion"/>
  </si>
  <si>
    <t>수신잔액</t>
    <phoneticPr fontId="2" type="noConversion"/>
  </si>
  <si>
    <t>조달금리</t>
    <phoneticPr fontId="2" type="noConversion"/>
  </si>
  <si>
    <t>개인</t>
    <phoneticPr fontId="2" type="noConversion"/>
  </si>
  <si>
    <t>법인</t>
    <phoneticPr fontId="2" type="noConversion"/>
  </si>
  <si>
    <t>수신 총계</t>
    <phoneticPr fontId="2" type="noConversion"/>
  </si>
  <si>
    <t>수시형</t>
    <phoneticPr fontId="2" type="noConversion"/>
  </si>
  <si>
    <t>약정형</t>
    <phoneticPr fontId="2" type="noConversion"/>
  </si>
  <si>
    <t>(7일~30일)</t>
  </si>
  <si>
    <t>(31일~90일)</t>
  </si>
  <si>
    <t>(91일~180일)</t>
  </si>
  <si>
    <t>(181일~270일)</t>
  </si>
  <si>
    <t>(271일~364일)</t>
  </si>
  <si>
    <t>(365일)</t>
  </si>
  <si>
    <t>적립형</t>
    <phoneticPr fontId="2" type="noConversion"/>
  </si>
  <si>
    <t>상품구분</t>
  </si>
  <si>
    <t>발행부채</t>
  </si>
  <si>
    <t>부채비용</t>
  </si>
  <si>
    <t>전기말잔고</t>
  </si>
  <si>
    <t>전월말잔고</t>
  </si>
  <si>
    <t>발행어음잔고</t>
  </si>
  <si>
    <t>약정잔고</t>
  </si>
  <si>
    <t>당월해약잔고</t>
  </si>
  <si>
    <t>조달금리(평균)</t>
  </si>
  <si>
    <t>당일지급이자</t>
  </si>
  <si>
    <t>당월지급이자</t>
  </si>
  <si>
    <t>당기지급이자</t>
  </si>
  <si>
    <t>당기미지급이자</t>
  </si>
  <si>
    <t>발행어음_개인수시형(1일~365일)</t>
  </si>
  <si>
    <t>발행어음_개인약정형(7일~30일)</t>
  </si>
  <si>
    <t>발행어음_개인약정형(31일~90일)</t>
  </si>
  <si>
    <t>발행어음_개인약정형(91일~180일)</t>
  </si>
  <si>
    <t>발행어음_개인약정형(181일~270일)</t>
  </si>
  <si>
    <t>발행어음_개인약정형(271일~364일)</t>
  </si>
  <si>
    <t>발행어음_개인약정형(365일)</t>
  </si>
  <si>
    <t>개인 합계</t>
  </si>
  <si>
    <t>발행어음_법인수시형(1일~365일)</t>
  </si>
  <si>
    <t>특판 발행어음_법인약정형(365일)</t>
  </si>
  <si>
    <t>법인 합계</t>
  </si>
  <si>
    <t>총 금액</t>
  </si>
  <si>
    <t>타입</t>
  </si>
  <si>
    <t>편입일자</t>
  </si>
  <si>
    <t>만기일자</t>
  </si>
  <si>
    <t>펀드코드</t>
  </si>
  <si>
    <t>운용펀드명</t>
  </si>
  <si>
    <t>자산코드</t>
  </si>
  <si>
    <t>자산명</t>
  </si>
  <si>
    <t>통화</t>
  </si>
  <si>
    <t>장부금액</t>
  </si>
  <si>
    <t>약정금액</t>
  </si>
  <si>
    <t>평가금액</t>
  </si>
  <si>
    <t>순수금액</t>
  </si>
  <si>
    <t>평가손익</t>
  </si>
  <si>
    <t>선수이자</t>
  </si>
  <si>
    <t>경과이자</t>
  </si>
  <si>
    <t>미수이자</t>
  </si>
  <si>
    <t>1개월자산여부</t>
  </si>
  <si>
    <t>3개월자산여부</t>
  </si>
  <si>
    <t>운용금리(%)</t>
  </si>
  <si>
    <t>운용내역</t>
  </si>
  <si>
    <t>운용메모</t>
  </si>
  <si>
    <t>대분류</t>
  </si>
  <si>
    <t>중분류</t>
  </si>
  <si>
    <t>GA344매핑코드</t>
  </si>
  <si>
    <t>GA344매핑코드명</t>
  </si>
  <si>
    <t>GA349매핑코드</t>
  </si>
  <si>
    <t>GA349매핑코드명</t>
  </si>
  <si>
    <t>잔존일수</t>
  </si>
  <si>
    <t>BS금액</t>
  </si>
  <si>
    <t>비중</t>
  </si>
  <si>
    <t>자동</t>
  </si>
  <si>
    <t>기업금융_회사채_발행물_일반(종합금융)</t>
  </si>
  <si>
    <t>110975-KR6000123G25-20260204</t>
  </si>
  <si>
    <t>KRW</t>
  </si>
  <si>
    <t>Y</t>
  </si>
  <si>
    <t>10:기업금융</t>
  </si>
  <si>
    <t>15:회사채</t>
  </si>
  <si>
    <t>B12010201</t>
  </si>
  <si>
    <t>2) 채권</t>
  </si>
  <si>
    <t>GA3491202</t>
  </si>
  <si>
    <t>기업금융관련자산-발행시장(기업)-채무증권</t>
  </si>
  <si>
    <t>110975-KR6001681G19-20260129</t>
  </si>
  <si>
    <t>110975-KR6002352F73-20260206</t>
  </si>
  <si>
    <t>110975-KR6002382G27-20260202</t>
  </si>
  <si>
    <t>110975-KR6006123G22-20260202</t>
  </si>
  <si>
    <t>110975-KR6031441G17-20260129</t>
  </si>
  <si>
    <t>110975-KR6097951G10-20260128</t>
  </si>
  <si>
    <t>110975-KR6101181G12-20260128</t>
  </si>
  <si>
    <t>기타자산_회사채(종합금융)</t>
  </si>
  <si>
    <t>110986-KR6000662E40-20260116</t>
  </si>
  <si>
    <t>40:기타</t>
  </si>
  <si>
    <t>GA3492201</t>
  </si>
  <si>
    <t>기타자산-증권-채무증권</t>
  </si>
  <si>
    <t>110986-KR6000723F20-20260109</t>
  </si>
  <si>
    <t>110986-KR6000882E93-20260212</t>
  </si>
  <si>
    <t>110986-KR6003672D92-20251226</t>
  </si>
  <si>
    <t>110986-KR6008562F84-20260123</t>
  </si>
  <si>
    <t>110986-KR6008562FA0-20260126</t>
  </si>
  <si>
    <t>110986-KR6009832F29-20251224</t>
  </si>
  <si>
    <t>110986-KR6010951FA1-20260123</t>
  </si>
  <si>
    <t>110986-KR6010951FA1-20260126</t>
  </si>
  <si>
    <t>110986-KR6015362F16-20260123</t>
  </si>
  <si>
    <t>110986-KR6018672G14-20260203</t>
  </si>
  <si>
    <t>110986-KR6034731FB7-20260119</t>
  </si>
  <si>
    <t>110986-KR6065908FB3-20260121</t>
  </si>
  <si>
    <t>110986-KR6097249FB4-20260120</t>
  </si>
  <si>
    <t>110986-KR6139482D78-20260126</t>
  </si>
  <si>
    <t>110986-KR6155722EA4-20260120</t>
  </si>
  <si>
    <t>110986-KR6155722F64-20260128</t>
  </si>
  <si>
    <t>110986-KR6298052F70-20260116</t>
  </si>
  <si>
    <t>110986-KR6373222F27-20260113</t>
  </si>
  <si>
    <t>110986-KR6373222F27-20260212</t>
  </si>
  <si>
    <t>20:부동산</t>
  </si>
  <si>
    <t>GA3492401</t>
  </si>
  <si>
    <t>기타자산-부동산 관련자산(B)</t>
  </si>
  <si>
    <t>기업금융_회사채_발행물_유동화/사모(종합금융)</t>
  </si>
  <si>
    <t>110994-KR60152F1FC5-20251226</t>
  </si>
  <si>
    <t>GA3491205</t>
  </si>
  <si>
    <t>기업금융관련자산-발행시장(기업)-기타증권</t>
  </si>
  <si>
    <t>부동산_공모ABS(종합금융)</t>
  </si>
  <si>
    <t>110995-KR60154T1G15-20260202</t>
  </si>
  <si>
    <t>B12010501</t>
  </si>
  <si>
    <t>5) 기타</t>
  </si>
  <si>
    <t>기업금융_(AB)CP_발행물(종합금융)</t>
  </si>
  <si>
    <t>N</t>
  </si>
  <si>
    <t>13:CP</t>
  </si>
  <si>
    <t>GA3491203</t>
  </si>
  <si>
    <t>기업금융관련자산-발행시장(기업)-(기업어음증권)</t>
  </si>
  <si>
    <t>130914-KRZF003342FG-13-20260128-9917726028</t>
  </si>
  <si>
    <t>130914-KRZF009838GE-13-20260219-4851068494</t>
  </si>
  <si>
    <t>130914-KRZF009839GE-13-20260219-4851068494</t>
  </si>
  <si>
    <t>기타자산_(AB)CP_유통물(종합금융)</t>
  </si>
  <si>
    <t>130922-KRZFB0423SFC-13-20251229-4959363014</t>
  </si>
  <si>
    <t>GA3492202</t>
  </si>
  <si>
    <t>기타자산-증권-(기업어음증권)</t>
  </si>
  <si>
    <t>130922-KRZFB0423TFC-13-20251229-4959363014</t>
  </si>
  <si>
    <t>130922-KRZFB0423VFC-13-20251229-4959363014</t>
  </si>
  <si>
    <t>기업금융_(AB)STB_발행물(종합금융)</t>
  </si>
  <si>
    <t>230047-KRZS0058Z019-23-20260220-8527653973</t>
  </si>
  <si>
    <t>14:STB</t>
  </si>
  <si>
    <t>GA3491204</t>
  </si>
  <si>
    <t>기업금융관련자산-발행시장(기업)-(전자단기사채)</t>
  </si>
  <si>
    <t>230047-KRZS48019031-23-20260205-4960219179</t>
  </si>
  <si>
    <t>230047-KRZS48863004-23-20251224-16739565754</t>
  </si>
  <si>
    <t>부동산_ABSTB(종합금융)</t>
  </si>
  <si>
    <t>230048-KRZS0141M001-23-20251217-9906123288</t>
  </si>
  <si>
    <t>23:ABSTB</t>
  </si>
  <si>
    <t>230048-KRZS0150P003-23-20260223-14963178083</t>
  </si>
  <si>
    <t>기업금융_기업대출_일반신용(종합금융)</t>
  </si>
  <si>
    <t>WC2026010002-20260123-003</t>
  </si>
  <si>
    <t>원화대출금-AC대출금</t>
  </si>
  <si>
    <t>대출계약코드:WC2026010002(심텍 매출채권 유동화 대출 5회차-111)</t>
  </si>
  <si>
    <t>11:기업대출</t>
  </si>
  <si>
    <t>B14050001</t>
  </si>
  <si>
    <t>5. 대출금</t>
  </si>
  <si>
    <t>GA3491101</t>
  </si>
  <si>
    <t>기업금융관련자산-기업신용공여-대출채권</t>
  </si>
  <si>
    <t>기업금융_기업대출_기업신용(종합금융)</t>
  </si>
  <si>
    <t>WC2026020004-20260213-005</t>
  </si>
  <si>
    <t>원화대출금-FVPL대출금</t>
  </si>
  <si>
    <t>대출계약코드:WC2026020004(동진섬유_연암 A(고정)_종금-111)</t>
  </si>
  <si>
    <t>WC2026020005-20260213-004</t>
  </si>
  <si>
    <t>대출계약코드:WC2026020005(동진섬유 C(고정)_종금-111)</t>
  </si>
  <si>
    <t>기업금융관련자산채권</t>
    <phoneticPr fontId="2" type="noConversion"/>
  </si>
  <si>
    <t>기타자산채권</t>
    <phoneticPr fontId="2" type="noConversion"/>
  </si>
  <si>
    <t>부동산관련자산유동화증권</t>
    <phoneticPr fontId="2" type="noConversion"/>
  </si>
  <si>
    <t>기업금융관련자산CP/STB</t>
    <phoneticPr fontId="2" type="noConversion"/>
  </si>
  <si>
    <t>기타자산CP/STB</t>
    <phoneticPr fontId="2" type="noConversion"/>
  </si>
  <si>
    <t>기업금융관련자산기업대출</t>
    <phoneticPr fontId="2" type="noConversion"/>
  </si>
  <si>
    <t>수신</t>
    <phoneticPr fontId="2" type="noConversion"/>
  </si>
  <si>
    <t>운용</t>
    <phoneticPr fontId="2" type="noConversion"/>
  </si>
  <si>
    <t>운용수익</t>
    <phoneticPr fontId="2" type="noConversion"/>
  </si>
  <si>
    <t>조달비용</t>
    <phoneticPr fontId="2" type="noConversion"/>
  </si>
  <si>
    <t>기타비용</t>
    <phoneticPr fontId="2" type="noConversion"/>
  </si>
  <si>
    <t>영업수지</t>
    <phoneticPr fontId="2" type="noConversion"/>
  </si>
  <si>
    <t>수익률</t>
    <phoneticPr fontId="2" type="noConversion"/>
  </si>
  <si>
    <t>□ 규제비율</t>
    <phoneticPr fontId="2" type="noConversion"/>
  </si>
  <si>
    <t>기업금융
관련자산</t>
    <phoneticPr fontId="2" type="noConversion"/>
  </si>
  <si>
    <t>부동산
관련자산</t>
    <phoneticPr fontId="2" type="noConversion"/>
  </si>
  <si>
    <t>모험자본</t>
    <phoneticPr fontId="2" type="noConversion"/>
  </si>
  <si>
    <t>유동성비율</t>
    <phoneticPr fontId="2" type="noConversion"/>
  </si>
  <si>
    <t>발행어음</t>
    <phoneticPr fontId="2" type="noConversion"/>
  </si>
  <si>
    <t>전사(분기)</t>
    <phoneticPr fontId="2" type="noConversion"/>
  </si>
  <si>
    <t>1개월</t>
    <phoneticPr fontId="2" type="noConversion"/>
  </si>
  <si>
    <t>3개월</t>
    <phoneticPr fontId="2" type="noConversion"/>
  </si>
  <si>
    <t>비율</t>
    <phoneticPr fontId="2" type="noConversion"/>
  </si>
  <si>
    <t>충족여부</t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</si>
  <si>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□ </t>
    </r>
    <r>
      <rPr>
        <b/>
        <sz val="11"/>
        <color theme="1"/>
        <rFont val="맑은 고딕"/>
        <family val="3"/>
        <charset val="129"/>
        <scheme val="minor"/>
      </rPr>
      <t>영업현황(누적 기준)</t>
    </r>
    <phoneticPr fontId="2" type="noConversion"/>
  </si>
  <si>
    <t>Duration</t>
    <phoneticPr fontId="2" type="noConversion"/>
  </si>
  <si>
    <t>위험액</t>
    <phoneticPr fontId="2" type="noConversion"/>
  </si>
  <si>
    <t>기준일자</t>
    <phoneticPr fontId="2" type="noConversion"/>
  </si>
  <si>
    <t>&lt;&lt;&lt;</t>
    <phoneticPr fontId="2" type="noConversion"/>
  </si>
  <si>
    <t>유동성자산현금성자산</t>
    <phoneticPr fontId="2" type="noConversion"/>
  </si>
  <si>
    <t>수동</t>
    <phoneticPr fontId="2" type="noConversion"/>
  </si>
  <si>
    <t>하나은행mmt</t>
    <phoneticPr fontId="2" type="noConversion"/>
  </si>
  <si>
    <t>신한은행cma</t>
    <phoneticPr fontId="2" type="noConversion"/>
  </si>
  <si>
    <t>발행잔고</t>
  </si>
  <si>
    <t>조달금리</t>
  </si>
  <si>
    <t>필터1</t>
    <phoneticPr fontId="2" type="noConversion"/>
  </si>
  <si>
    <t>필터2</t>
    <phoneticPr fontId="2" type="noConversion"/>
  </si>
  <si>
    <t>필터</t>
    <phoneticPr fontId="2" type="noConversion"/>
  </si>
  <si>
    <t>윙스 4612 복붙</t>
    <phoneticPr fontId="2" type="noConversion"/>
  </si>
  <si>
    <t>2/28기준</t>
    <phoneticPr fontId="2" type="noConversion"/>
  </si>
  <si>
    <t>윙스 4604 + 자금판 복붙</t>
    <phoneticPr fontId="2" type="noConversion"/>
  </si>
  <si>
    <t>130914-KRZF00303AFC-13-20251219-4961175343</t>
  </si>
  <si>
    <t>130914-KRZF00303BFC-13-20251219-4961175343</t>
  </si>
  <si>
    <t>130914-KRZF00303CFC-13-20251219-4961175343</t>
  </si>
  <si>
    <t>130914-KRZF00303DFC-13-20251219-4961175343</t>
  </si>
  <si>
    <t>130914-KRZF004803G1-13-20260105-4969691781</t>
  </si>
  <si>
    <t>130914-KRZF004804G1-13-20260105-4969691781</t>
  </si>
  <si>
    <t>130914-KRZF097958GE-13-20260226-9995561644</t>
  </si>
  <si>
    <t>130914-KRZF097959GE-13-20260226-9995561644</t>
  </si>
  <si>
    <t>130914-KRZF09795AGE-13-20260226-9995561644</t>
  </si>
  <si>
    <t>130922-KRZF14017AFC-13-20260225-4997410959</t>
  </si>
  <si>
    <t>기타자산_(AB)STB_유통물(종합금융)</t>
  </si>
  <si>
    <t>230056-KRZS00680F6Z-23-20260226-19992767124</t>
  </si>
  <si>
    <t>GA3492203</t>
  </si>
  <si>
    <t>기타자산-증권-(전자단기사채)</t>
  </si>
  <si>
    <t>230056-KRZS0083V012-23-20251218-14877000000</t>
  </si>
  <si>
    <t>듀레이션</t>
    <phoneticPr fontId="2" type="noConversion"/>
  </si>
  <si>
    <t>기업금융관련자산채권1</t>
    <phoneticPr fontId="2" type="noConversion"/>
  </si>
  <si>
    <t>기타자산채권1</t>
    <phoneticPr fontId="2" type="noConversion"/>
  </si>
  <si>
    <t>기타자산채권2</t>
  </si>
  <si>
    <t>기타자산채권3</t>
  </si>
  <si>
    <t>기타자산채권4</t>
  </si>
  <si>
    <t>기타자산채권5</t>
  </si>
  <si>
    <t>기타자산채권6</t>
  </si>
  <si>
    <t>기타자산채권7</t>
  </si>
  <si>
    <t>기타자산채권8</t>
  </si>
  <si>
    <t>기타자산채권9</t>
  </si>
  <si>
    <t>기타자산채권10</t>
  </si>
  <si>
    <t>기타자산채권11</t>
  </si>
  <si>
    <t>기타자산채권12</t>
  </si>
  <si>
    <t>기타자산채권13</t>
  </si>
  <si>
    <t>기타자산채권14</t>
  </si>
  <si>
    <t>기타자산채권15</t>
  </si>
  <si>
    <t>기타자산채권16</t>
  </si>
  <si>
    <t>기타자산채권17</t>
  </si>
  <si>
    <t>기타자산채권18</t>
  </si>
  <si>
    <t>기타자산채권19</t>
  </si>
  <si>
    <t>기타자산채권20</t>
  </si>
  <si>
    <t>기업금융관련자산채권2</t>
  </si>
  <si>
    <t>기업금융관련자산채권3</t>
  </si>
  <si>
    <t>기업금융관련자산채권4</t>
  </si>
  <si>
    <t>기업금융관련자산채권5</t>
  </si>
  <si>
    <t>기업금융관련자산채권6</t>
  </si>
  <si>
    <t>기업금융관련자산채권7</t>
  </si>
  <si>
    <t>기업금융관련자산채권8</t>
  </si>
  <si>
    <t>기업금융관련자산채권9</t>
    <phoneticPr fontId="2" type="noConversion"/>
  </si>
  <si>
    <t>부동산관련자산유동화증권1</t>
    <phoneticPr fontId="2" type="noConversion"/>
  </si>
  <si>
    <t>기업금융관련자산CP/STB1</t>
    <phoneticPr fontId="2" type="noConversion"/>
  </si>
  <si>
    <t>기업금융관련자산CP/STB2</t>
  </si>
  <si>
    <t>기업금융관련자산CP/STB3</t>
  </si>
  <si>
    <t>기업금융관련자산CP/STB4</t>
  </si>
  <si>
    <t>기업금융관련자산CP/STB5</t>
  </si>
  <si>
    <t>기업금융관련자산CP/STB6</t>
  </si>
  <si>
    <t>기업금융관련자산CP/STB7</t>
  </si>
  <si>
    <t>기업금융관련자산CP/STB8</t>
  </si>
  <si>
    <t>기업금융관련자산CP/STB9</t>
  </si>
  <si>
    <t>기업금융관련자산CP/STB10</t>
  </si>
  <si>
    <t>기업금융관련자산CP/STB11</t>
  </si>
  <si>
    <t>기업금융관련자산CP/STB12</t>
  </si>
  <si>
    <t>기업금융관련자산CP/STB14</t>
  </si>
  <si>
    <t>기업금융관련자산CP/STB15</t>
  </si>
  <si>
    <t>기타자산CP/STB1</t>
    <phoneticPr fontId="2" type="noConversion"/>
  </si>
  <si>
    <t>기타자산CP/STB2</t>
  </si>
  <si>
    <t>기타자산CP/STB3</t>
  </si>
  <si>
    <t>기타자산CP/STB4</t>
  </si>
  <si>
    <t>기업금융관련자산CP/STB13</t>
    <phoneticPr fontId="2" type="noConversion"/>
  </si>
  <si>
    <t>부동산관련자산유동화증권2</t>
    <phoneticPr fontId="2" type="noConversion"/>
  </si>
  <si>
    <t>부동산관련자산유동화증권3</t>
    <phoneticPr fontId="2" type="noConversion"/>
  </si>
  <si>
    <t>기타자산CP/STB5</t>
    <phoneticPr fontId="2" type="noConversion"/>
  </si>
  <si>
    <t>기타자산CP/STB6</t>
    <phoneticPr fontId="2" type="noConversion"/>
  </si>
  <si>
    <t>기업금융관련자산기업대출1</t>
    <phoneticPr fontId="2" type="noConversion"/>
  </si>
  <si>
    <t>기업금융관련자산기업대출2</t>
  </si>
  <si>
    <t>기업금융관련자산기업대출3</t>
  </si>
  <si>
    <t>DASHBOARD</t>
    <phoneticPr fontId="2" type="noConversion"/>
  </si>
  <si>
    <t>특판 KK 발행어음_개인수시형(1일~365일)</t>
  </si>
  <si>
    <t>특판 KK 발행어음_개인약정형(7일~30일)</t>
  </si>
  <si>
    <t>특판 KK 발행어음_개인약정형(31일~90일)</t>
  </si>
  <si>
    <t>특판 KK 발행어음_개인약정형(91일~180일)</t>
  </si>
  <si>
    <t>특판 KK 발행어음_개인약정형(181일~270일)</t>
  </si>
  <si>
    <t>특판 KK 발행어음_개인약정형(271일~364일)</t>
  </si>
  <si>
    <t>KK 발행어음_법인약정형(7일~30일)</t>
  </si>
  <si>
    <t>KK 발행어음_법인약정형(31일~90일)</t>
  </si>
  <si>
    <t>KK 발행어음_법인약정형(91일~180일)</t>
  </si>
  <si>
    <t>특판 KK 발행어음_법인약정형(181일~270일)</t>
  </si>
  <si>
    <t>KK 발행어음_법인약정형(181일~270일)</t>
  </si>
  <si>
    <t>특판 KK 발행어음_법인약정형(271일~364일)</t>
  </si>
  <si>
    <t>KK 발행어음_법인약정형(271일~364일)</t>
  </si>
  <si>
    <t>KK 발행어음_법인약정형(365일)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</si>
</sst>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\ ;[Red]\ \-#,##0\ ;\-\ "/>
    <numFmt numFmtId="177" formatCode="0.00%\ ;\-0.00%\ ;\-\ "/>
    <numFmt numFmtId="178" formatCode="0.0%\ ;\-0.0%\ ;\-\ "/>
    <numFmt numFmtId="179" formatCode="_-* #,##0.0000_-;\-* #,##0.0000_-;_-* &quot;-&quot;_-;_-@_-"/>
    <numFmt numFmtId="180" formatCode="#,##0\ ;\-#,##0\ ;\-\ "/>
    <numFmt numFmtId="181" formatCode="0.00%\ ;[Red]\ \-0.00%\ ;\-\ "/>
    <numFmt numFmtId="182" formatCode="0.00%\p\ ;[Red]\ \-0.00%\p\ ;\-\ "/>
    <numFmt numFmtId="183" formatCode="0.0000\ ;[Red]\ \-0.0000\ ;\-\ "/>
    <numFmt numFmtId="184" formatCode="#,##0.00\ ;[Red]\ \-#,##0.00\ ;\-\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/>
      <right/>
      <top style="thin">
        <color theme="3" tint="0.59996337778862885"/>
      </top>
      <bottom/>
      <diagonal/>
    </border>
    <border>
      <left/>
      <right style="thin">
        <color theme="3" tint="0.59996337778862885"/>
      </right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/>
      <diagonal/>
    </border>
    <border>
      <left style="thin">
        <color theme="3" tint="0.59996337778862885"/>
      </left>
      <right/>
      <top/>
      <bottom style="thin">
        <color theme="3" tint="0.59996337778862885"/>
      </bottom>
      <diagonal/>
    </border>
    <border>
      <left/>
      <right/>
      <top/>
      <bottom style="thin">
        <color theme="3" tint="0.59996337778862885"/>
      </bottom>
      <diagonal/>
    </border>
    <border>
      <left/>
      <right style="thin">
        <color theme="3" tint="0.59996337778862885"/>
      </right>
      <top/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176" fontId="5" fillId="4" borderId="10" xfId="0" applyNumberFormat="1" applyFont="1" applyFill="1" applyBorder="1">
      <alignment vertical="center"/>
    </xf>
    <xf numFmtId="176" fontId="6" fillId="0" borderId="10" xfId="0" applyNumberFormat="1" applyFont="1" applyBorder="1">
      <alignment vertical="center"/>
    </xf>
    <xf numFmtId="176" fontId="5" fillId="0" borderId="10" xfId="0" applyNumberFormat="1" applyFont="1" applyBorder="1">
      <alignment vertical="center"/>
    </xf>
    <xf numFmtId="0" fontId="9" fillId="0" borderId="0" xfId="0" applyFont="1">
      <alignment vertical="center"/>
    </xf>
    <xf numFmtId="14" fontId="0" fillId="0" borderId="0" xfId="0" applyNumberFormat="1">
      <alignment vertical="center"/>
    </xf>
    <xf numFmtId="0" fontId="9" fillId="0" borderId="14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176" fontId="11" fillId="0" borderId="10" xfId="1" applyNumberFormat="1" applyFont="1" applyBorder="1" applyAlignment="1">
      <alignment horizontal="right" vertical="center"/>
    </xf>
    <xf numFmtId="176" fontId="11" fillId="0" borderId="11" xfId="0" applyNumberFormat="1" applyFont="1" applyBorder="1" applyAlignment="1">
      <alignment horizontal="right" vertical="center"/>
    </xf>
    <xf numFmtId="181" fontId="11" fillId="0" borderId="10" xfId="0" applyNumberFormat="1" applyFont="1" applyBorder="1">
      <alignment vertical="center"/>
    </xf>
    <xf numFmtId="182" fontId="9" fillId="4" borderId="10" xfId="0" applyNumberFormat="1" applyFont="1" applyFill="1" applyBorder="1">
      <alignment vertical="center"/>
    </xf>
    <xf numFmtId="178" fontId="11" fillId="0" borderId="10" xfId="0" applyNumberFormat="1" applyFont="1" applyBorder="1">
      <alignment vertical="center"/>
    </xf>
    <xf numFmtId="177" fontId="11" fillId="0" borderId="10" xfId="0" applyNumberFormat="1" applyFont="1" applyBorder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3" borderId="12" xfId="0" applyFont="1" applyFill="1" applyBorder="1">
      <alignment vertical="center"/>
    </xf>
    <xf numFmtId="0" fontId="9" fillId="3" borderId="5" xfId="0" applyFont="1" applyFill="1" applyBorder="1">
      <alignment vertical="center"/>
    </xf>
    <xf numFmtId="176" fontId="9" fillId="3" borderId="10" xfId="0" applyNumberFormat="1" applyFont="1" applyFill="1" applyBorder="1">
      <alignment vertical="center"/>
    </xf>
    <xf numFmtId="177" fontId="9" fillId="3" borderId="10" xfId="0" applyNumberFormat="1" applyFont="1" applyFill="1" applyBorder="1">
      <alignment vertical="center"/>
    </xf>
    <xf numFmtId="0" fontId="11" fillId="3" borderId="13" xfId="0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1" fillId="4" borderId="12" xfId="0" applyFont="1" applyFill="1" applyBorder="1">
      <alignment vertical="center"/>
    </xf>
    <xf numFmtId="0" fontId="11" fillId="4" borderId="5" xfId="0" applyFont="1" applyFill="1" applyBorder="1">
      <alignment vertical="center"/>
    </xf>
    <xf numFmtId="176" fontId="11" fillId="4" borderId="10" xfId="0" applyNumberFormat="1" applyFont="1" applyFill="1" applyBorder="1">
      <alignment vertical="center"/>
    </xf>
    <xf numFmtId="177" fontId="11" fillId="4" borderId="10" xfId="0" applyNumberFormat="1" applyFont="1" applyFill="1" applyBorder="1">
      <alignment vertical="center"/>
    </xf>
    <xf numFmtId="0" fontId="11" fillId="4" borderId="4" xfId="0" applyFont="1" applyFill="1" applyBorder="1">
      <alignment vertical="center"/>
    </xf>
    <xf numFmtId="0" fontId="11" fillId="4" borderId="13" xfId="0" applyFont="1" applyFill="1" applyBorder="1">
      <alignment vertical="center"/>
    </xf>
    <xf numFmtId="0" fontId="11" fillId="0" borderId="4" xfId="0" applyFont="1" applyBorder="1">
      <alignment vertical="center"/>
    </xf>
    <xf numFmtId="0" fontId="11" fillId="0" borderId="5" xfId="0" applyFont="1" applyBorder="1">
      <alignment vertical="center"/>
    </xf>
    <xf numFmtId="176" fontId="8" fillId="0" borderId="10" xfId="0" applyNumberFormat="1" applyFont="1" applyBorder="1">
      <alignment vertical="center"/>
    </xf>
    <xf numFmtId="0" fontId="11" fillId="4" borderId="11" xfId="0" applyFont="1" applyFill="1" applyBorder="1">
      <alignment vertical="center"/>
    </xf>
    <xf numFmtId="176" fontId="11" fillId="0" borderId="10" xfId="0" applyNumberFormat="1" applyFont="1" applyBorder="1">
      <alignment vertical="center"/>
    </xf>
    <xf numFmtId="0" fontId="11" fillId="0" borderId="10" xfId="0" applyFont="1" applyBorder="1">
      <alignment vertical="center"/>
    </xf>
    <xf numFmtId="0" fontId="11" fillId="3" borderId="11" xfId="0" applyFont="1" applyFill="1" applyBorder="1">
      <alignment vertical="center"/>
    </xf>
    <xf numFmtId="183" fontId="4" fillId="3" borderId="10" xfId="0" applyNumberFormat="1" applyFont="1" applyFill="1" applyBorder="1">
      <alignment vertical="center"/>
    </xf>
    <xf numFmtId="184" fontId="4" fillId="3" borderId="10" xfId="0" applyNumberFormat="1" applyFont="1" applyFill="1" applyBorder="1">
      <alignment vertical="center"/>
    </xf>
    <xf numFmtId="183" fontId="5" fillId="4" borderId="10" xfId="0" applyNumberFormat="1" applyFont="1" applyFill="1" applyBorder="1">
      <alignment vertical="center"/>
    </xf>
    <xf numFmtId="183" fontId="6" fillId="0" borderId="10" xfId="0" applyNumberFormat="1" applyFont="1" applyBorder="1">
      <alignment vertical="center"/>
    </xf>
    <xf numFmtId="0" fontId="14" fillId="2" borderId="2" xfId="0" applyFont="1" applyFill="1" applyBorder="1">
      <alignment vertical="center"/>
    </xf>
    <xf numFmtId="0" fontId="13" fillId="2" borderId="1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14" fontId="15" fillId="7" borderId="10" xfId="0" applyNumberFormat="1" applyFont="1" applyFill="1" applyBorder="1" applyAlignment="1">
      <alignment horizontal="center" vertical="center"/>
    </xf>
    <xf numFmtId="41" fontId="9" fillId="0" borderId="14" xfId="1" applyFont="1" applyBorder="1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Border="1">
      <alignment vertical="center"/>
    </xf>
    <xf numFmtId="41" fontId="11" fillId="0" borderId="0" xfId="1" applyFont="1" applyBorder="1">
      <alignment vertical="center"/>
    </xf>
    <xf numFmtId="0" fontId="11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180" fontId="8" fillId="0" borderId="0" xfId="0" applyNumberFormat="1" applyFont="1" applyFill="1" applyBorder="1">
      <alignment vertical="center"/>
    </xf>
    <xf numFmtId="179" fontId="8" fillId="0" borderId="0" xfId="1" applyNumberFormat="1" applyFont="1" applyFill="1" applyBorder="1">
      <alignment vertical="center"/>
    </xf>
    <xf numFmtId="0" fontId="9" fillId="0" borderId="15" xfId="0" applyFont="1" applyFill="1" applyBorder="1">
      <alignment vertical="center"/>
    </xf>
    <xf numFmtId="0" fontId="9" fillId="0" borderId="16" xfId="0" applyFont="1" applyFill="1" applyBorder="1">
      <alignment vertical="center"/>
    </xf>
    <xf numFmtId="0" fontId="7" fillId="0" borderId="14" xfId="0" applyFont="1" applyFill="1" applyBorder="1">
      <alignment vertical="center"/>
    </xf>
    <xf numFmtId="180" fontId="7" fillId="0" borderId="14" xfId="0" applyNumberFormat="1" applyFont="1" applyFill="1" applyBorder="1">
      <alignment vertical="center"/>
    </xf>
    <xf numFmtId="179" fontId="7" fillId="0" borderId="14" xfId="1" applyNumberFormat="1" applyFont="1" applyFill="1" applyBorder="1">
      <alignment vertical="center"/>
    </xf>
    <xf numFmtId="0" fontId="7" fillId="8" borderId="14" xfId="0" applyFont="1" applyFill="1" applyBorder="1">
      <alignment vertical="center"/>
    </xf>
    <xf numFmtId="180" fontId="7" fillId="8" borderId="14" xfId="0" applyNumberFormat="1" applyFont="1" applyFill="1" applyBorder="1">
      <alignment vertical="center"/>
    </xf>
    <xf numFmtId="179" fontId="7" fillId="8" borderId="14" xfId="1" applyNumberFormat="1" applyFont="1" applyFill="1" applyBorder="1">
      <alignment vertical="center"/>
    </xf>
    <xf numFmtId="14" fontId="11" fillId="0" borderId="0" xfId="0" applyNumberFormat="1" applyFont="1" applyFill="1" applyBorder="1">
      <alignment vertical="center"/>
    </xf>
    <xf numFmtId="14" fontId="0" fillId="0" borderId="0" xfId="0" applyNumberFormat="1" applyAlignment="1">
      <alignment horizontal="center" vertical="center"/>
    </xf>
    <xf numFmtId="0" fontId="9" fillId="0" borderId="0" xfId="0" applyFont="1" applyFill="1" applyBorder="1">
      <alignment vertical="center"/>
    </xf>
    <xf numFmtId="0" fontId="9" fillId="7" borderId="0" xfId="0" applyFont="1" applyFill="1" applyBorder="1">
      <alignment vertical="center"/>
    </xf>
    <xf numFmtId="0" fontId="0" fillId="7" borderId="0" xfId="0" applyFill="1">
      <alignment vertical="center"/>
    </xf>
    <xf numFmtId="14" fontId="11" fillId="0" borderId="0" xfId="0" applyNumberFormat="1" applyFont="1" applyBorder="1">
      <alignment vertical="center"/>
    </xf>
    <xf numFmtId="0" fontId="0" fillId="9" borderId="0" xfId="0" applyFill="1">
      <alignment vertical="center"/>
    </xf>
    <xf numFmtId="41" fontId="0" fillId="9" borderId="0" xfId="1" applyFont="1" applyFill="1">
      <alignment vertical="center"/>
    </xf>
    <xf numFmtId="0" fontId="9" fillId="5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B87-956E-4640-8032-FE6AB3B2A63A}">
  <dimension ref="B2:T29"/>
  <sheetViews>
    <sheetView showGridLines="0" tabSelected="1" view="pageBreakPreview" zoomScale="85" zoomScaleNormal="100" zoomScaleSheetLayoutView="85" workbookViewId="0">
      <selection activeCell="F16" sqref="F16"/>
    </sheetView>
  </sheetViews>
  <sheetFormatPr defaultRowHeight="20.100000000000001" customHeight="1" x14ac:dyDescent="0.3"/>
  <cols>
    <col min="1" max="1" width="5.625" style="8" customWidth="1"/>
    <col min="2" max="4" width="2.625" style="8" customWidth="1"/>
    <col min="5" max="10" width="12.625" style="8" customWidth="1"/>
    <col min="11" max="14" width="2.625" style="8" customWidth="1"/>
    <col min="15" max="20" width="12.625" style="8" customWidth="1"/>
    <col min="21" max="21" width="5.625" style="8" customWidth="1"/>
    <col min="22" max="16384" width="9" style="8"/>
  </cols>
  <sheetData>
    <row r="2" spans="2:20" ht="20.100000000000001" customHeight="1" x14ac:dyDescent="0.3">
      <c r="B2" s="89"/>
      <c r="C2" s="90"/>
      <c r="D2" s="90"/>
      <c r="E2" s="90"/>
      <c r="F2" s="93" t="s">
        <v>296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43"/>
      <c r="T2" s="44"/>
    </row>
    <row r="3" spans="2:20" ht="20.100000000000001" customHeight="1" x14ac:dyDescent="0.3">
      <c r="B3" s="91"/>
      <c r="C3" s="92"/>
      <c r="D3" s="92"/>
      <c r="E3" s="92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45" t="s">
        <v>210</v>
      </c>
      <c r="T3" s="46">
        <v>46081</v>
      </c>
    </row>
    <row r="5" spans="2:20" ht="20.100000000000001" customHeight="1" x14ac:dyDescent="0.3">
      <c r="B5" s="4" t="s">
        <v>207</v>
      </c>
      <c r="J5" s="9" t="s">
        <v>20</v>
      </c>
      <c r="L5" s="4" t="s">
        <v>196</v>
      </c>
      <c r="T5" s="9" t="s">
        <v>20</v>
      </c>
    </row>
    <row r="6" spans="2:20" ht="20.100000000000001" customHeight="1" x14ac:dyDescent="0.3">
      <c r="B6" s="73" t="s">
        <v>1</v>
      </c>
      <c r="C6" s="73"/>
      <c r="D6" s="73"/>
      <c r="E6" s="73" t="s">
        <v>189</v>
      </c>
      <c r="F6" s="73"/>
      <c r="G6" s="73" t="s">
        <v>190</v>
      </c>
      <c r="H6" s="73"/>
      <c r="I6" s="73"/>
      <c r="J6" s="73"/>
      <c r="L6" s="73" t="s">
        <v>1</v>
      </c>
      <c r="M6" s="73"/>
      <c r="N6" s="73"/>
      <c r="O6" s="95" t="s">
        <v>197</v>
      </c>
      <c r="P6" s="95" t="s">
        <v>198</v>
      </c>
      <c r="Q6" s="73" t="s">
        <v>199</v>
      </c>
      <c r="R6" s="73"/>
      <c r="S6" s="80" t="s">
        <v>200</v>
      </c>
      <c r="T6" s="81"/>
    </row>
    <row r="7" spans="2:20" ht="20.100000000000001" customHeight="1" x14ac:dyDescent="0.3">
      <c r="B7" s="73"/>
      <c r="C7" s="73"/>
      <c r="D7" s="73"/>
      <c r="E7" s="10" t="s">
        <v>3</v>
      </c>
      <c r="F7" s="10" t="s">
        <v>4</v>
      </c>
      <c r="G7" s="10" t="s">
        <v>191</v>
      </c>
      <c r="H7" s="10" t="s">
        <v>192</v>
      </c>
      <c r="I7" s="11" t="s">
        <v>193</v>
      </c>
      <c r="J7" s="10" t="s">
        <v>194</v>
      </c>
      <c r="L7" s="73"/>
      <c r="M7" s="73"/>
      <c r="N7" s="73"/>
      <c r="O7" s="95"/>
      <c r="P7" s="95"/>
      <c r="Q7" s="10" t="s">
        <v>201</v>
      </c>
      <c r="R7" s="10" t="s">
        <v>202</v>
      </c>
      <c r="S7" s="10" t="s">
        <v>203</v>
      </c>
      <c r="T7" s="10" t="s">
        <v>204</v>
      </c>
    </row>
    <row r="8" spans="2:20" ht="20.100000000000001" customHeight="1" x14ac:dyDescent="0.3">
      <c r="B8" s="72" t="s">
        <v>195</v>
      </c>
      <c r="C8" s="72"/>
      <c r="D8" s="72"/>
      <c r="E8" s="12">
        <f>P14</f>
        <v>9033.3402999999998</v>
      </c>
      <c r="F8" s="13"/>
      <c r="G8" s="14">
        <f>H14</f>
        <v>3.3777705594887755E-2</v>
      </c>
      <c r="H8" s="14">
        <f>S14</f>
        <v>3.0498419968358767E-2</v>
      </c>
      <c r="I8" s="14">
        <v>2E-3</v>
      </c>
      <c r="J8" s="15">
        <f>G8-H8-I8</f>
        <v>1.2792856265289882E-3</v>
      </c>
      <c r="L8" s="72" t="s">
        <v>205</v>
      </c>
      <c r="M8" s="72"/>
      <c r="N8" s="72"/>
      <c r="O8" s="17">
        <f>F18/$F$14</f>
        <v>0.36426528875812453</v>
      </c>
      <c r="P8" s="17">
        <f>F23/$F$14</f>
        <v>4.9739862500617224E-2</v>
      </c>
      <c r="Q8" s="16">
        <v>0</v>
      </c>
      <c r="R8" s="16">
        <v>0.82089999999999996</v>
      </c>
      <c r="S8" s="17">
        <v>6.0407000000000002</v>
      </c>
      <c r="T8" s="17">
        <v>5.5094000000000003</v>
      </c>
    </row>
    <row r="9" spans="2:20" ht="20.100000000000001" customHeight="1" x14ac:dyDescent="0.3">
      <c r="L9" s="72" t="s">
        <v>206</v>
      </c>
      <c r="M9" s="72"/>
      <c r="N9" s="72"/>
      <c r="O9" s="7" t="str">
        <f>IF(O8&gt;=30%, "충족", "미달")</f>
        <v>충족</v>
      </c>
      <c r="P9" s="7" t="str">
        <f>IF(P8&lt;=10%, "충족", "미달")</f>
        <v>충족</v>
      </c>
      <c r="Q9" s="87" t="str">
        <f>IF(R8&gt;=25%, "충족", "미달")</f>
        <v>충족</v>
      </c>
      <c r="R9" s="88"/>
      <c r="S9" s="7" t="str">
        <f>IF(S8&gt;=100%, "충족", "미달")</f>
        <v>충족</v>
      </c>
      <c r="T9" s="7" t="str">
        <f>IF(T8&gt;=100%, "충족", "미달")</f>
        <v>충족</v>
      </c>
    </row>
    <row r="11" spans="2:20" ht="20.100000000000001" customHeight="1" x14ac:dyDescent="0.3">
      <c r="B11" s="4" t="s">
        <v>0</v>
      </c>
      <c r="L11" s="4" t="s">
        <v>19</v>
      </c>
      <c r="S11" s="9" t="s">
        <v>20</v>
      </c>
    </row>
    <row r="12" spans="2:20" ht="20.100000000000001" customHeight="1" x14ac:dyDescent="0.3">
      <c r="B12" s="74" t="s">
        <v>1</v>
      </c>
      <c r="C12" s="75"/>
      <c r="D12" s="75"/>
      <c r="E12" s="76"/>
      <c r="F12" s="80" t="s">
        <v>18</v>
      </c>
      <c r="G12" s="81"/>
      <c r="H12" s="82" t="s">
        <v>2</v>
      </c>
      <c r="I12" s="85" t="s">
        <v>208</v>
      </c>
      <c r="J12" s="85" t="s">
        <v>209</v>
      </c>
      <c r="L12" s="73" t="s">
        <v>1</v>
      </c>
      <c r="M12" s="73"/>
      <c r="N12" s="73"/>
      <c r="O12" s="73"/>
      <c r="P12" s="84" t="s">
        <v>21</v>
      </c>
      <c r="Q12" s="73"/>
      <c r="R12" s="73"/>
      <c r="S12" s="73" t="s">
        <v>22</v>
      </c>
    </row>
    <row r="13" spans="2:20" ht="20.100000000000001" customHeight="1" x14ac:dyDescent="0.3">
      <c r="B13" s="77"/>
      <c r="C13" s="78"/>
      <c r="D13" s="78"/>
      <c r="E13" s="79"/>
      <c r="F13" s="10" t="s">
        <v>3</v>
      </c>
      <c r="G13" s="10" t="s">
        <v>4</v>
      </c>
      <c r="H13" s="83"/>
      <c r="I13" s="86"/>
      <c r="J13" s="86"/>
      <c r="L13" s="73"/>
      <c r="M13" s="73"/>
      <c r="N13" s="73"/>
      <c r="O13" s="73"/>
      <c r="P13" s="18"/>
      <c r="Q13" s="10" t="s">
        <v>23</v>
      </c>
      <c r="R13" s="10" t="s">
        <v>24</v>
      </c>
      <c r="S13" s="73"/>
    </row>
    <row r="14" spans="2:20" ht="20.100000000000001" customHeight="1" x14ac:dyDescent="0.3">
      <c r="B14" s="19" t="s">
        <v>5</v>
      </c>
      <c r="C14" s="20"/>
      <c r="D14" s="20"/>
      <c r="E14" s="21"/>
      <c r="F14" s="22">
        <f>F15+F18+F23+F26</f>
        <v>9043.4245950000004</v>
      </c>
      <c r="G14" s="22"/>
      <c r="H14" s="23">
        <f>(H15*$F$15+H18*$F$18+H23*$F$23+H26*$F$26)/$F$14</f>
        <v>3.3777705594887755E-2</v>
      </c>
      <c r="I14" s="39">
        <f>(I15*$F$15+I18*$F$18+I23*$F$23+I26*$F$26)/$F$14</f>
        <v>2.6449175511818184</v>
      </c>
      <c r="J14" s="40"/>
      <c r="L14" s="19" t="s">
        <v>25</v>
      </c>
      <c r="M14" s="20"/>
      <c r="N14" s="20"/>
      <c r="O14" s="21"/>
      <c r="P14" s="22">
        <f>P15+P16</f>
        <v>9033.3402999999998</v>
      </c>
      <c r="Q14" s="22">
        <f t="shared" ref="Q14:R14" si="0">Q15+Q16</f>
        <v>3329.3653999999997</v>
      </c>
      <c r="R14" s="22">
        <f t="shared" si="0"/>
        <v>5703.9748999999993</v>
      </c>
      <c r="S14" s="23">
        <f>(S15*P15+S16*P16+S23*P23)/P14</f>
        <v>3.0498419968358767E-2</v>
      </c>
    </row>
    <row r="15" spans="2:20" ht="20.100000000000001" customHeight="1" x14ac:dyDescent="0.3">
      <c r="B15" s="24"/>
      <c r="C15" s="25" t="s">
        <v>6</v>
      </c>
      <c r="D15" s="26"/>
      <c r="E15" s="27"/>
      <c r="F15" s="28">
        <f>SUM(F16:F17)</f>
        <v>2653.9087611</v>
      </c>
      <c r="G15" s="28"/>
      <c r="H15" s="29">
        <f>SUMPRODUCT($F$16:$F$17,H16:H17)/$F$15</f>
        <v>2.5000000000000001E-2</v>
      </c>
      <c r="I15" s="41">
        <f>SUMPRODUCT($F$16:$F$17,I16:I17)/$F$15</f>
        <v>2.7397260273972603E-3</v>
      </c>
      <c r="J15" s="1"/>
      <c r="L15" s="24"/>
      <c r="M15" s="30" t="s">
        <v>26</v>
      </c>
      <c r="N15" s="26"/>
      <c r="O15" s="27"/>
      <c r="P15" s="28">
        <f>SUMIFS('1. 수신잔고'!$H:$H,'1. 수신잔고'!$B:$B,"수시형(1일~365일)")/10^8</f>
        <v>1971.3023000000001</v>
      </c>
      <c r="Q15" s="28">
        <f>SUMIFS('1. 수신잔고'!$H:$H,'1. 수신잔고'!$A:$A,"개인수시형(1일~365일)")/10^8</f>
        <v>1922.7274</v>
      </c>
      <c r="R15" s="28">
        <f>SUMIFS('1. 수신잔고'!$H:$H,'1. 수신잔고'!$A:$A,"법인수시형(1일~365일)")/10^8</f>
        <v>48.5749</v>
      </c>
      <c r="S15" s="29" cm="1">
        <f t="array" ref="S15">SUMPRODUCT(('1. 수신잔고'!$B$6:$B$99="수시형(1일~365일)")*'1. 수신잔고'!$H$6:$H$99*'1. 수신잔고'!$K$6:$K$99)/SUMPRODUCT(('1. 수신잔고'!$B$6:$B$99="수시형(1일~365일)")*'1. 수신잔고'!$H$6:$H$99)/100</f>
        <v>2.4424005247191159E-2</v>
      </c>
    </row>
    <row r="16" spans="2:20" ht="20.100000000000001" customHeight="1" x14ac:dyDescent="0.3">
      <c r="B16" s="24"/>
      <c r="C16" s="31"/>
      <c r="D16" s="32" t="s">
        <v>7</v>
      </c>
      <c r="E16" s="33"/>
      <c r="F16" s="36">
        <f>SUMIFS('2. 운용자산'!$AE:$AE,'2. 운용자산'!$A:$A,$C$15&amp;$D16)/10^8</f>
        <v>2653.9087611</v>
      </c>
      <c r="G16" s="34"/>
      <c r="H16" s="17">
        <v>2.5000000000000001E-2</v>
      </c>
      <c r="I16" s="42">
        <v>2.7397260273972603E-3</v>
      </c>
      <c r="J16" s="2"/>
      <c r="L16" s="24"/>
      <c r="M16" s="25" t="s">
        <v>27</v>
      </c>
      <c r="N16" s="26"/>
      <c r="O16" s="27"/>
      <c r="P16" s="28">
        <f>SUM(P17:P22)</f>
        <v>7062.0380000000005</v>
      </c>
      <c r="Q16" s="28">
        <f t="shared" ref="Q16:R16" si="1">SUM(Q17:Q22)</f>
        <v>1406.6379999999999</v>
      </c>
      <c r="R16" s="28">
        <f t="shared" si="1"/>
        <v>5655.4</v>
      </c>
      <c r="S16" s="29">
        <f>SUMPRODUCT(P17:P22,S17:S22)/P16</f>
        <v>3.2194036405284135E-2</v>
      </c>
    </row>
    <row r="17" spans="2:19" ht="20.100000000000001" customHeight="1" x14ac:dyDescent="0.3">
      <c r="B17" s="24"/>
      <c r="C17" s="35"/>
      <c r="D17" s="32" t="s">
        <v>8</v>
      </c>
      <c r="E17" s="33"/>
      <c r="F17" s="36">
        <f>SUMIFS('2. 운용자산'!$AE:$AE,'2. 운용자산'!$A:$A,$C$15&amp;$D17)/10^8</f>
        <v>0</v>
      </c>
      <c r="G17" s="34"/>
      <c r="H17" s="17">
        <v>0</v>
      </c>
      <c r="I17" s="42">
        <v>0</v>
      </c>
      <c r="J17" s="3"/>
      <c r="L17" s="24"/>
      <c r="M17" s="31"/>
      <c r="N17" s="37" t="s">
        <v>28</v>
      </c>
      <c r="O17" s="37"/>
      <c r="P17" s="36">
        <f>SUMIFS('1. 수신잔고'!$H:$H,'1. 수신잔고'!$B:$B,$M$16&amp;$N17)/10^8</f>
        <v>180.02979999999999</v>
      </c>
      <c r="Q17" s="36">
        <f>SUMIFS('1. 수신잔고'!$H:$H,'1. 수신잔고'!$A:$A,Q$13&amp;$M$16&amp;$N17)/10^8</f>
        <v>180.02979999999999</v>
      </c>
      <c r="R17" s="36">
        <f>SUMIFS('1. 수신잔고'!$H:$H,'1. 수신잔고'!$A:$A,R$13&amp;$M$16&amp;$N17)/10^8</f>
        <v>0</v>
      </c>
      <c r="S17" s="17" cm="1">
        <f t="array" ref="S17">SUMPRODUCT(('1. 수신잔고'!$B$6:$B$99=$M$16&amp;$N17)*'1. 수신잔고'!$H$6:$H$99*'1. 수신잔고'!$K$6:$K$99)/SUMPRODUCT(('1. 수신잔고'!$B$6:$B$99=$M$16&amp;$N17)*'1. 수신잔고'!$H$6:$H$99)/100</f>
        <v>2.4405E-2</v>
      </c>
    </row>
    <row r="18" spans="2:19" ht="20.100000000000001" customHeight="1" x14ac:dyDescent="0.3">
      <c r="B18" s="24"/>
      <c r="C18" s="25" t="s">
        <v>9</v>
      </c>
      <c r="D18" s="26"/>
      <c r="E18" s="27"/>
      <c r="F18" s="28">
        <f>SUM(F19:F22)</f>
        <v>3294.2056714600003</v>
      </c>
      <c r="G18" s="28"/>
      <c r="H18" s="29">
        <f>SUMPRODUCT($F$19:$F$22,H19:H22)/$F$18</f>
        <v>4.0799054137928704E-2</v>
      </c>
      <c r="I18" s="41">
        <f>SUMPRODUCT($F$19:$F$22,I19:I22)/$F$18</f>
        <v>4.0799054137928694</v>
      </c>
      <c r="J18" s="1"/>
      <c r="L18" s="24"/>
      <c r="M18" s="31"/>
      <c r="N18" s="37" t="s">
        <v>29</v>
      </c>
      <c r="O18" s="37"/>
      <c r="P18" s="36">
        <f>SUMIFS('1. 수신잔고'!$H:$H,'1. 수신잔고'!$B:$B,$M$16&amp;$N18)/10^8</f>
        <v>136.62219999999999</v>
      </c>
      <c r="Q18" s="36">
        <f>SUMIFS('1. 수신잔고'!$H:$H,'1. 수신잔고'!$A:$A,Q$13&amp;$M$16&amp;$N18)/10^8</f>
        <v>136.62219999999999</v>
      </c>
      <c r="R18" s="36">
        <f>SUMIFS('1. 수신잔고'!$H:$H,'1. 수신잔고'!$A:$A,R$13&amp;$M$16&amp;$N18)/10^8</f>
        <v>0</v>
      </c>
      <c r="S18" s="17" cm="1">
        <f t="array" ref="S18">SUMPRODUCT(('1. 수신잔고'!$B$6:$B$99=$M$16&amp;$N18)*'1. 수신잔고'!$H$6:$H$99*'1. 수신잔고'!$K$6:$K$99)/SUMPRODUCT(('1. 수신잔고'!$B$6:$B$99=$M$16&amp;$N18)*'1. 수신잔고'!$H$6:$H$99)/100</f>
        <v>2.4935968068878999E-2</v>
      </c>
    </row>
    <row r="19" spans="2:19" ht="20.100000000000001" customHeight="1" x14ac:dyDescent="0.3">
      <c r="B19" s="24"/>
      <c r="C19" s="31"/>
      <c r="D19" s="32" t="s">
        <v>10</v>
      </c>
      <c r="E19" s="33"/>
      <c r="F19" s="36">
        <f>SUMIFS('2. 운용자산'!$AE:$AE,'2. 운용자산'!$A:$A,$C$18&amp;$D19)/10^8</f>
        <v>1105.23952321</v>
      </c>
      <c r="G19" s="34"/>
      <c r="H19" s="17" cm="1">
        <f t="array" ref="H19">IFERROR(SUMPRODUCT(('2. 운용자산'!$A$5:$A$99=$C$18&amp;$D19)*'2. 운용자산'!$AE$5:$AE$99*'2. 운용자산'!$U$5:$U$99)/SUMPRODUCT(('2. 운용자산'!$A$5:$A$99=$C$18&amp;$D19)*'2. 운용자산'!$AE$5:$AE$99)/100,0)</f>
        <v>3.4465112635432171E-2</v>
      </c>
      <c r="I19" s="42" cm="1">
        <f t="array" ref="I19">IFERROR(SUMPRODUCT(('2. 운용자산'!$A$5:$A$99=$C$18&amp;$D19)*'2. 운용자산'!$AE$5:$AE$99*'2. 운용자산'!$U$5:$U$99)/SUMPRODUCT(('2. 운용자산'!$A$5:$A$99=$C$18&amp;$D19)*'2. 운용자산'!$AE$5:$AE$99),0)</f>
        <v>3.4465112635432171</v>
      </c>
      <c r="J19" s="3"/>
      <c r="L19" s="24"/>
      <c r="M19" s="31"/>
      <c r="N19" s="37" t="s">
        <v>30</v>
      </c>
      <c r="O19" s="37"/>
      <c r="P19" s="36">
        <f>SUMIFS('1. 수신잔고'!$H:$H,'1. 수신잔고'!$B:$B,$M$16&amp;$N19)/10^8</f>
        <v>150.89920000000001</v>
      </c>
      <c r="Q19" s="36">
        <f>SUMIFS('1. 수신잔고'!$H:$H,'1. 수신잔고'!$A:$A,Q$13&amp;$M$16&amp;$N19)/10^8</f>
        <v>150.89920000000001</v>
      </c>
      <c r="R19" s="36">
        <f>SUMIFS('1. 수신잔고'!$H:$H,'1. 수신잔고'!$A:$A,R$13&amp;$M$16&amp;$N19)/10^8</f>
        <v>0</v>
      </c>
      <c r="S19" s="17" cm="1">
        <f t="array" ref="S19">SUMPRODUCT(('1. 수신잔고'!$B$6:$B$99=$M$16&amp;$N19)*'1. 수신잔고'!$H$6:$H$99*'1. 수신잔고'!$K$6:$K$99)/SUMPRODUCT(('1. 수신잔고'!$B$6:$B$99=$M$16&amp;$N19)*'1. 수신잔고'!$H$6:$H$99)/100</f>
        <v>2.8409566685575535E-2</v>
      </c>
    </row>
    <row r="20" spans="2:19" ht="20.100000000000001" customHeight="1" x14ac:dyDescent="0.3">
      <c r="B20" s="24"/>
      <c r="C20" s="31"/>
      <c r="D20" s="37" t="s">
        <v>11</v>
      </c>
      <c r="E20" s="37"/>
      <c r="F20" s="36">
        <f>SUMIFS('2. 운용자산'!$AE:$AE,'2. 운용자산'!$A:$A,$C$18&amp;$D20)/10^8</f>
        <v>1699.0384473500001</v>
      </c>
      <c r="G20" s="34"/>
      <c r="H20" s="17" cm="1">
        <f t="array" ref="H20">IFERROR(SUMPRODUCT(('2. 운용자산'!$A$5:$A$99=$C$18&amp;$D20)*'2. 운용자산'!$AE$5:$AE$99*'2. 운용자산'!$U$5:$U$99)/SUMPRODUCT(('2. 운용자산'!$A$5:$A$99=$C$18&amp;$D20)*'2. 운용자산'!$AE$5:$AE$99)/100,0)</f>
        <v>3.9520182092131456E-2</v>
      </c>
      <c r="I20" s="42" cm="1">
        <f t="array" ref="I20">IFERROR(SUMPRODUCT(('2. 운용자산'!$A$5:$A$99=$C$18&amp;$D20)*'2. 운용자산'!$AE$5:$AE$99*'2. 운용자산'!$U$5:$U$99)/SUMPRODUCT(('2. 운용자산'!$A$5:$A$99=$C$18&amp;$D20)*'2. 운용자산'!$AE$5:$AE$99),0)</f>
        <v>3.9520182092131457</v>
      </c>
      <c r="J20" s="3"/>
      <c r="L20" s="24"/>
      <c r="M20" s="31"/>
      <c r="N20" s="37" t="s">
        <v>31</v>
      </c>
      <c r="O20" s="37"/>
      <c r="P20" s="36">
        <f>SUMIFS('1. 수신잔고'!$H:$H,'1. 수신잔고'!$B:$B,$M$16&amp;$N20)/10^8</f>
        <v>674.32230000000004</v>
      </c>
      <c r="Q20" s="36">
        <f>SUMIFS('1. 수신잔고'!$H:$H,'1. 수신잔고'!$A:$A,Q$13&amp;$M$16&amp;$N20)/10^8</f>
        <v>113.8223</v>
      </c>
      <c r="R20" s="36">
        <f>SUMIFS('1. 수신잔고'!$H:$H,'1. 수신잔고'!$A:$A,R$13&amp;$M$16&amp;$N20)/10^8</f>
        <v>560.5</v>
      </c>
      <c r="S20" s="17" cm="1">
        <f t="array" ref="S20">SUMPRODUCT(('1. 수신잔고'!$B$6:$B$99=$M$16&amp;$N20)*'1. 수신잔고'!$H$6:$H$99*'1. 수신잔고'!$K$6:$K$99)/SUMPRODUCT(('1. 수신잔고'!$B$6:$B$99=$M$16&amp;$N20)*'1. 수신잔고'!$H$6:$H$99)/100</f>
        <v>3.0700031662010883E-2</v>
      </c>
    </row>
    <row r="21" spans="2:19" ht="20.100000000000001" customHeight="1" x14ac:dyDescent="0.3">
      <c r="B21" s="24"/>
      <c r="C21" s="31"/>
      <c r="D21" s="37" t="s">
        <v>12</v>
      </c>
      <c r="E21" s="37"/>
      <c r="F21" s="36">
        <f>SUMIFS('2. 운용자산'!$AE:$AE,'2. 운용자산'!$A:$A,$C$18&amp;$D21)/10^8</f>
        <v>489.92770089999999</v>
      </c>
      <c r="G21" s="34"/>
      <c r="H21" s="17" cm="1">
        <f t="array" ref="H21">IFERROR(SUMPRODUCT(('2. 운용자산'!$A$5:$A$99=$C$18&amp;$D21)*'2. 운용자산'!$AE$5:$AE$99*'2. 운용자산'!$U$5:$U$99)/SUMPRODUCT(('2. 운용자산'!$A$5:$A$99=$C$18&amp;$D21)*'2. 운용자산'!$AE$5:$AE$99)/100,0)</f>
        <v>5.9522990842177957E-2</v>
      </c>
      <c r="I21" s="42" cm="1">
        <f t="array" ref="I21">IFERROR(SUMPRODUCT(('2. 운용자산'!$A$5:$A$99=$C$18&amp;$D21)*'2. 운용자산'!$AE$5:$AE$99*'2. 운용자산'!$U$5:$U$99)/SUMPRODUCT(('2. 운용자산'!$A$5:$A$99=$C$18&amp;$D21)*'2. 운용자산'!$AE$5:$AE$99),0)</f>
        <v>5.9522990842177954</v>
      </c>
      <c r="J21" s="3"/>
      <c r="L21" s="24"/>
      <c r="M21" s="31"/>
      <c r="N21" s="37" t="s">
        <v>32</v>
      </c>
      <c r="O21" s="37"/>
      <c r="P21" s="36">
        <f>SUMIFS('1. 수신잔고'!$H:$H,'1. 수신잔고'!$B:$B,$M$16&amp;$N21)/10^8</f>
        <v>4323.5780999999997</v>
      </c>
      <c r="Q21" s="36">
        <f>SUMIFS('1. 수신잔고'!$H:$H,'1. 수신잔고'!$A:$A,Q$13&amp;$M$16&amp;$N21)/10^8</f>
        <v>272.77809999999999</v>
      </c>
      <c r="R21" s="36">
        <f>SUMIFS('1. 수신잔고'!$H:$H,'1. 수신잔고'!$A:$A,R$13&amp;$M$16&amp;$N21)/10^8</f>
        <v>4050.8</v>
      </c>
      <c r="S21" s="17" cm="1">
        <f t="array" ref="S21">SUMPRODUCT(('1. 수신잔고'!$B$6:$B$99=$M$16&amp;$N21)*'1. 수신잔고'!$H$6:$H$99*'1. 수신잔고'!$K$6:$K$99)/SUMPRODUCT(('1. 수신잔고'!$B$6:$B$99=$M$16&amp;$N21)*'1. 수신잔고'!$H$6:$H$99)/100</f>
        <v>3.3028640093953662E-2</v>
      </c>
    </row>
    <row r="22" spans="2:19" ht="20.100000000000001" customHeight="1" x14ac:dyDescent="0.3">
      <c r="B22" s="24"/>
      <c r="C22" s="35"/>
      <c r="D22" s="37" t="s">
        <v>13</v>
      </c>
      <c r="E22" s="37"/>
      <c r="F22" s="36">
        <f>SUMIFS('2. 운용자산'!$AE:$AE,'2. 운용자산'!$A:$A,$C$18&amp;$D22)/10^8</f>
        <v>0</v>
      </c>
      <c r="G22" s="34"/>
      <c r="H22" s="17" cm="1">
        <f t="array" ref="H22">IFERROR(SUMPRODUCT(('2. 운용자산'!$A$5:$A$99=$C$18&amp;$D22)*'2. 운용자산'!$AE$5:$AE$99*'2. 운용자산'!$U$5:$U$99)/SUMPRODUCT(('2. 운용자산'!$A$5:$A$99=$C$18&amp;$D22)*'2. 운용자산'!$AE$5:$AE$99)/100,0)</f>
        <v>0</v>
      </c>
      <c r="I22" s="42" cm="1">
        <f t="array" ref="I22">IFERROR(SUMPRODUCT(('2. 운용자산'!$A$5:$A$99=$C$18&amp;$D22)*'2. 운용자산'!$AE$5:$AE$99*'2. 운용자산'!$U$5:$U$99)/SUMPRODUCT(('2. 운용자산'!$A$5:$A$99=$C$18&amp;$D22)*'2. 운용자산'!$AE$5:$AE$99),0)</f>
        <v>0</v>
      </c>
      <c r="J22" s="3"/>
      <c r="L22" s="24"/>
      <c r="M22" s="35"/>
      <c r="N22" s="37" t="s">
        <v>33</v>
      </c>
      <c r="O22" s="37"/>
      <c r="P22" s="36">
        <f>SUMIFS('1. 수신잔고'!$H:$H,'1. 수신잔고'!$B:$B,$M$16&amp;$N22)/10^8</f>
        <v>1596.5863999999999</v>
      </c>
      <c r="Q22" s="36">
        <f>SUMIFS('1. 수신잔고'!$H:$H,'1. 수신잔고'!$A:$A,Q$13&amp;$M$16&amp;$N22)/10^8</f>
        <v>552.4864</v>
      </c>
      <c r="R22" s="36">
        <f>SUMIFS('1. 수신잔고'!$H:$H,'1. 수신잔고'!$A:$A,R$13&amp;$M$16&amp;$N22)/10^8</f>
        <v>1044.0999999999999</v>
      </c>
      <c r="S22" s="17" cm="1">
        <f t="array" ref="S22">SUMPRODUCT(('1. 수신잔고'!$B$6:$B$99=$M$16&amp;$N22)*'1. 수신잔고'!$H$6:$H$99*'1. 수신잔고'!$K$6:$K$99)/SUMPRODUCT(('1. 수신잔고'!$B$6:$B$99=$M$16&amp;$N22)*'1. 수신잔고'!$H$6:$H$99)/100</f>
        <v>3.2421967613653728E-2</v>
      </c>
    </row>
    <row r="23" spans="2:19" ht="20.100000000000001" customHeight="1" x14ac:dyDescent="0.3">
      <c r="B23" s="24"/>
      <c r="C23" s="25" t="s">
        <v>14</v>
      </c>
      <c r="D23" s="26"/>
      <c r="E23" s="27"/>
      <c r="F23" s="28">
        <f>SUM(F24:F25)</f>
        <v>449.81869589000001</v>
      </c>
      <c r="G23" s="28"/>
      <c r="H23" s="29">
        <f>SUMPRODUCT($F$24:$F$25,H24:H25)/$F$23</f>
        <v>3.5355160391517093E-2</v>
      </c>
      <c r="I23" s="41">
        <f>SUMPRODUCT($F$24:$F$25,I24:I25)/$F$23</f>
        <v>3.5355160391517093</v>
      </c>
      <c r="J23" s="1"/>
      <c r="L23" s="38"/>
      <c r="M23" s="30" t="s">
        <v>34</v>
      </c>
      <c r="N23" s="26"/>
      <c r="O23" s="27"/>
      <c r="P23" s="28">
        <v>0</v>
      </c>
      <c r="Q23" s="28">
        <v>0</v>
      </c>
      <c r="R23" s="28">
        <v>0</v>
      </c>
      <c r="S23" s="29">
        <v>0</v>
      </c>
    </row>
    <row r="24" spans="2:19" ht="20.100000000000001" customHeight="1" x14ac:dyDescent="0.3">
      <c r="B24" s="24"/>
      <c r="C24" s="31"/>
      <c r="D24" s="37" t="s">
        <v>15</v>
      </c>
      <c r="E24" s="37"/>
      <c r="F24" s="36">
        <f>SUMIFS('2. 운용자산'!$AE:$AE,'2. 운용자산'!$A:$A,$C$23&amp;$D24)/10^8</f>
        <v>449.81869589000001</v>
      </c>
      <c r="G24" s="34"/>
      <c r="H24" s="17" cm="1">
        <f t="array" ref="H24">IFERROR(SUMPRODUCT(('2. 운용자산'!$A$5:$A$99=$C$23&amp;$D24)*'2. 운용자산'!$AE$5:$AE$99*'2. 운용자산'!$U$5:$U$99)/SUMPRODUCT(('2. 운용자산'!$A$5:$A$99=$C$23&amp;$D24)*'2. 운용자산'!$AE$5:$AE$99)/100,0)</f>
        <v>3.5355160391517093E-2</v>
      </c>
      <c r="I24" s="42" cm="1">
        <f t="array" ref="I24">IFERROR(SUMPRODUCT(('2. 운용자산'!$A$5:$A$99=$C$23&amp;$D24)*'2. 운용자산'!$AE$5:$AE$99*'2. 운용자산'!$U$5:$U$99)/SUMPRODUCT(('2. 운용자산'!$A$5:$A$99=$C$23&amp;$D24)*'2. 운용자산'!$AE$5:$AE$99),0)</f>
        <v>3.5355160391517093</v>
      </c>
      <c r="J24" s="3"/>
    </row>
    <row r="25" spans="2:19" ht="20.100000000000001" customHeight="1" x14ac:dyDescent="0.3">
      <c r="B25" s="24"/>
      <c r="C25" s="35"/>
      <c r="D25" s="37" t="s">
        <v>16</v>
      </c>
      <c r="E25" s="37"/>
      <c r="F25" s="36">
        <f>SUMIFS('2. 운용자산'!$AE:$AE,'2. 운용자산'!$A:$A,$C$23&amp;$D25)/10^8</f>
        <v>0</v>
      </c>
      <c r="G25" s="34"/>
      <c r="H25" s="17" cm="1">
        <f t="array" ref="H25">IFERROR(SUMPRODUCT(('2. 운용자산'!$A$5:$A$99=$C$23&amp;$D25)*'2. 운용자산'!$AE$5:$AE$99*'2. 운용자산'!$U$5:$U$99)/SUMPRODUCT(('2. 운용자산'!$A$5:$A$99=$C$23&amp;$D25)*'2. 운용자산'!$AE$5:$AE$99)/100,0)</f>
        <v>0</v>
      </c>
      <c r="I25" s="42" cm="1">
        <f t="array" ref="I25">IFERROR(SUMPRODUCT(('2. 운용자산'!$A$5:$A$99=$C$23&amp;$D25)*'2. 운용자산'!$AE$5:$AE$99*'2. 운용자산'!$U$5:$U$99)/SUMPRODUCT(('2. 운용자산'!$A$5:$A$99=$C$23&amp;$D25)*'2. 운용자산'!$AE$5:$AE$99),0)</f>
        <v>0</v>
      </c>
      <c r="J25" s="3"/>
    </row>
    <row r="26" spans="2:19" ht="20.100000000000001" customHeight="1" x14ac:dyDescent="0.3">
      <c r="B26" s="24"/>
      <c r="C26" s="25" t="s">
        <v>17</v>
      </c>
      <c r="D26" s="26"/>
      <c r="E26" s="27"/>
      <c r="F26" s="28">
        <f>SUM(F27:F29)</f>
        <v>2645.49146655</v>
      </c>
      <c r="G26" s="28"/>
      <c r="H26" s="29">
        <f>SUMPRODUCT($F$27:$F$29,H27:H29)/$F$26</f>
        <v>3.3572033009102165E-2</v>
      </c>
      <c r="I26" s="41">
        <f>SUMPRODUCT($F$27:$F$29,I27:I29)/$F$26</f>
        <v>3.3572033009102173</v>
      </c>
      <c r="J26" s="1"/>
    </row>
    <row r="27" spans="2:19" ht="20.100000000000001" customHeight="1" x14ac:dyDescent="0.3">
      <c r="B27" s="24"/>
      <c r="C27" s="31"/>
      <c r="D27" s="37" t="s">
        <v>10</v>
      </c>
      <c r="E27" s="37"/>
      <c r="F27" s="36">
        <f>SUMIFS('2. 운용자산'!$AE:$AE,'2. 운용자산'!$A:$A,$C$26&amp;$D27)/10^8</f>
        <v>550.12078993</v>
      </c>
      <c r="G27" s="34"/>
      <c r="H27" s="17" cm="1">
        <f t="array" ref="H27">IFERROR(SUMPRODUCT(('2. 운용자산'!$A$5:$A$99=$C$26&amp;$D27)*'2. 운용자산'!$AE$5:$AE$99*'2. 운용자산'!$U$5:$U$99)/SUMPRODUCT(('2. 운용자산'!$A$5:$A$99=$C$26&amp;$D27)*'2. 운용자산'!$AE$5:$AE$99)/100,0)</f>
        <v>3.2309547140308342E-2</v>
      </c>
      <c r="I27" s="42" cm="1">
        <f t="array" ref="I27">IFERROR(SUMPRODUCT(('2. 운용자산'!$A$5:$A$99=$C$26&amp;$D27)*'2. 운용자산'!$AE$5:$AE$99*'2. 운용자산'!$U$5:$U$99)/SUMPRODUCT(('2. 운용자산'!$A$5:$A$99=$C$26&amp;$D27)*'2. 운용자산'!$AE$5:$AE$99),0)</f>
        <v>3.2309547140308346</v>
      </c>
      <c r="J27" s="3"/>
    </row>
    <row r="28" spans="2:19" ht="20.100000000000001" customHeight="1" x14ac:dyDescent="0.3">
      <c r="B28" s="24"/>
      <c r="C28" s="31"/>
      <c r="D28" s="37" t="s">
        <v>11</v>
      </c>
      <c r="E28" s="37"/>
      <c r="F28" s="36">
        <f>SUMIFS('2. 운용자산'!$AE:$AE,'2. 운용자산'!$A:$A,$C$26&amp;$D28)/10^8</f>
        <v>2095.3706766199998</v>
      </c>
      <c r="G28" s="34"/>
      <c r="H28" s="17" cm="1">
        <f t="array" ref="H28">IFERROR(SUMPRODUCT(('2. 운용자산'!$A$5:$A$99=$C$26&amp;$D28)*'2. 운용자산'!$AE$5:$AE$99*'2. 운용자산'!$U$5:$U$99)/SUMPRODUCT(('2. 운용자산'!$A$5:$A$99=$C$26&amp;$D28)*'2. 운용자산'!$AE$5:$AE$99)/100,0)</f>
        <v>3.3903487358046595E-2</v>
      </c>
      <c r="I28" s="42" cm="1">
        <f t="array" ref="I28">IFERROR(SUMPRODUCT(('2. 운용자산'!$A$5:$A$99=$C$26&amp;$D28)*'2. 운용자산'!$AE$5:$AE$99*'2. 운용자산'!$U$5:$U$99)/SUMPRODUCT(('2. 운용자산'!$A$5:$A$99=$C$26&amp;$D28)*'2. 운용자산'!$AE$5:$AE$99),0)</f>
        <v>3.3903487358046598</v>
      </c>
      <c r="J28" s="3"/>
    </row>
    <row r="29" spans="2:19" ht="20.100000000000001" customHeight="1" x14ac:dyDescent="0.3">
      <c r="B29" s="38"/>
      <c r="C29" s="35"/>
      <c r="D29" s="37" t="s">
        <v>13</v>
      </c>
      <c r="E29" s="37"/>
      <c r="F29" s="36">
        <f>SUMIFS('2. 운용자산'!$AE:$AE,'2. 운용자산'!$A:$A,$C$26&amp;$D29)/10^8</f>
        <v>0</v>
      </c>
      <c r="G29" s="34"/>
      <c r="H29" s="17" cm="1">
        <f t="array" ref="H29">IFERROR(SUMPRODUCT(('2. 운용자산'!$A$5:$A$99=$C$26&amp;$D29)*'2. 운용자산'!$AE$5:$AE$99*'2. 운용자산'!$U$5:$U$99)/SUMPRODUCT(('2. 운용자산'!$A$5:$A$99=$C$26&amp;$D29)*'2. 운용자산'!$AE$5:$AE$99)/100,0)</f>
        <v>0</v>
      </c>
      <c r="I29" s="42" cm="1">
        <f t="array" ref="I29">IFERROR(SUMPRODUCT(('2. 운용자산'!$A$5:$A$99=$C$26&amp;$D29)*'2. 운용자산'!$AE$5:$AE$99*'2. 운용자산'!$U$5:$U$99)/SUMPRODUCT(('2. 운용자산'!$A$5:$A$99=$C$26&amp;$D29)*'2. 운용자산'!$AE$5:$AE$99),0)</f>
        <v>0</v>
      </c>
      <c r="J29" s="3"/>
    </row>
  </sheetData>
  <mergeCells count="22">
    <mergeCell ref="G6:J6"/>
    <mergeCell ref="B2:E3"/>
    <mergeCell ref="F2:R3"/>
    <mergeCell ref="O6:O7"/>
    <mergeCell ref="P6:P7"/>
    <mergeCell ref="Q6:R6"/>
    <mergeCell ref="B8:D8"/>
    <mergeCell ref="L6:N7"/>
    <mergeCell ref="S12:S13"/>
    <mergeCell ref="B6:D7"/>
    <mergeCell ref="B12:E13"/>
    <mergeCell ref="F12:G12"/>
    <mergeCell ref="H12:H13"/>
    <mergeCell ref="L12:O13"/>
    <mergeCell ref="P12:R12"/>
    <mergeCell ref="I12:I13"/>
    <mergeCell ref="J12:J13"/>
    <mergeCell ref="S6:T6"/>
    <mergeCell ref="L8:N8"/>
    <mergeCell ref="L9:N9"/>
    <mergeCell ref="Q9:R9"/>
    <mergeCell ref="E6:F6"/>
  </mergeCells>
  <phoneticPr fontId="2" type="noConversion"/>
  <conditionalFormatting sqref="O9:T9">
    <cfRule type="containsText" dxfId="0" priority="1" operator="containsText" text="미달">
      <formula>NOT(ISERROR(SEARCH("미달",O9)))</formula>
    </cfRule>
  </conditionalFormatting>
  <pageMargins left="0.7" right="0.7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8DA3-6506-491B-B46B-706E3FEB1A64}">
  <dimension ref="A2:O32"/>
  <sheetViews>
    <sheetView zoomScale="85" zoomScaleNormal="85" workbookViewId="0">
      <selection activeCell="E29" sqref="E29"/>
    </sheetView>
  </sheetViews>
  <sheetFormatPr defaultRowHeight="16.5" x14ac:dyDescent="0.3"/>
  <cols>
    <col min="1" max="1" width="24.75" style="52" bestFit="1" customWidth="1"/>
    <col min="2" max="2" width="20.5" style="52" bestFit="1" customWidth="1"/>
    <col min="3" max="3" width="11.625" style="64" bestFit="1" customWidth="1"/>
    <col min="4" max="4" width="5.625" style="52" bestFit="1" customWidth="1"/>
    <col min="5" max="5" width="43.5" style="52" bestFit="1" customWidth="1"/>
    <col min="6" max="7" width="18.125" style="52" bestFit="1" customWidth="1"/>
    <col min="8" max="9" width="20" style="52" bestFit="1" customWidth="1"/>
    <col min="10" max="10" width="18.125" style="52" bestFit="1" customWidth="1"/>
    <col min="11" max="11" width="16.375" style="52" bestFit="1" customWidth="1"/>
    <col min="12" max="12" width="13.25" style="52" bestFit="1" customWidth="1"/>
    <col min="13" max="14" width="13.875" style="52" bestFit="1" customWidth="1"/>
    <col min="15" max="15" width="15.625" style="52" bestFit="1" customWidth="1"/>
    <col min="16" max="16384" width="9" style="52"/>
  </cols>
  <sheetData>
    <row r="2" spans="1:15" x14ac:dyDescent="0.3">
      <c r="E2" s="67" t="s">
        <v>221</v>
      </c>
      <c r="F2" s="52" t="s">
        <v>222</v>
      </c>
    </row>
    <row r="4" spans="1:15" x14ac:dyDescent="0.3">
      <c r="A4" s="52" t="s">
        <v>218</v>
      </c>
      <c r="B4" s="52" t="s">
        <v>219</v>
      </c>
      <c r="C4" s="64" t="s">
        <v>210</v>
      </c>
      <c r="E4" s="56" t="s">
        <v>35</v>
      </c>
      <c r="F4" s="56" t="s">
        <v>36</v>
      </c>
      <c r="G4" s="56" t="s">
        <v>39</v>
      </c>
      <c r="H4" s="56" t="s">
        <v>216</v>
      </c>
      <c r="I4" s="56" t="s">
        <v>41</v>
      </c>
      <c r="J4" s="56" t="s">
        <v>42</v>
      </c>
      <c r="K4" s="56" t="s">
        <v>217</v>
      </c>
      <c r="L4" s="56" t="s">
        <v>37</v>
      </c>
      <c r="M4" s="56" t="s">
        <v>45</v>
      </c>
      <c r="N4" s="56" t="s">
        <v>46</v>
      </c>
      <c r="O4" s="56" t="s">
        <v>47</v>
      </c>
    </row>
    <row r="5" spans="1:15" x14ac:dyDescent="0.3">
      <c r="E5" s="57"/>
      <c r="F5" s="57" t="s">
        <v>38</v>
      </c>
      <c r="G5" s="57" t="s">
        <v>39</v>
      </c>
      <c r="H5" s="57" t="s">
        <v>40</v>
      </c>
      <c r="I5" s="57" t="s">
        <v>41</v>
      </c>
      <c r="J5" s="57" t="s">
        <v>42</v>
      </c>
      <c r="K5" s="57" t="s">
        <v>43</v>
      </c>
      <c r="L5" s="57" t="s">
        <v>44</v>
      </c>
      <c r="M5" s="57" t="s">
        <v>45</v>
      </c>
      <c r="N5" s="57" t="s">
        <v>46</v>
      </c>
      <c r="O5" s="57" t="s">
        <v>47</v>
      </c>
    </row>
    <row r="6" spans="1:15" x14ac:dyDescent="0.3">
      <c r="A6" s="53" t="str">
        <f>IFERROR(RIGHT(E6,LEN(E6)-FIND("_",E6)),"")</f>
        <v>개인수시형(1일~365일)</v>
      </c>
      <c r="B6" s="53" t="str">
        <f>IFERROR(MID(A6,3,100),"")</f>
        <v>수시형(1일~365일)</v>
      </c>
      <c r="C6" s="65">
        <v>46081</v>
      </c>
      <c r="D6" s="49" t="s">
        <v>211</v>
      </c>
      <c r="E6" s="53" t="s">
        <v>297</v>
      </c>
      <c r="F6" s="54">
        <v>10894240000</v>
      </c>
      <c r="G6" s="54">
        <v>5470680000</v>
      </c>
      <c r="H6" s="54">
        <v>3130200000</v>
      </c>
      <c r="I6" s="54">
        <v>3130200000</v>
      </c>
      <c r="J6" s="54">
        <v>2340480000</v>
      </c>
      <c r="K6" s="55">
        <v>2.4500000000000002</v>
      </c>
      <c r="L6" s="54">
        <v>0</v>
      </c>
      <c r="M6" s="54">
        <v>9512743</v>
      </c>
      <c r="N6" s="54">
        <v>21065504</v>
      </c>
      <c r="O6" s="54">
        <v>12396478</v>
      </c>
    </row>
    <row r="7" spans="1:15" x14ac:dyDescent="0.3">
      <c r="A7" s="53" t="str">
        <f t="shared" ref="A7:A32" si="0">IFERROR(RIGHT(E7,LEN(E7)-FIND("_",E7)),"")</f>
        <v>개인수시형(1일~365일)</v>
      </c>
      <c r="B7" s="53" t="str">
        <f t="shared" ref="B7:B32" si="1">IFERROR(MID(A7,3,100),"")</f>
        <v>수시형(1일~365일)</v>
      </c>
      <c r="C7" s="65">
        <v>46081</v>
      </c>
      <c r="D7" s="49" t="s">
        <v>211</v>
      </c>
      <c r="E7" s="53" t="s">
        <v>48</v>
      </c>
      <c r="F7" s="54">
        <v>49999520000</v>
      </c>
      <c r="G7" s="54">
        <v>154697620000</v>
      </c>
      <c r="H7" s="54">
        <v>189142540000</v>
      </c>
      <c r="I7" s="54">
        <v>189142540000</v>
      </c>
      <c r="J7" s="54">
        <v>617022700000</v>
      </c>
      <c r="K7" s="55">
        <v>2.4485000000000001</v>
      </c>
      <c r="L7" s="54">
        <v>0</v>
      </c>
      <c r="M7" s="54">
        <v>312664429</v>
      </c>
      <c r="N7" s="54">
        <v>436240292</v>
      </c>
      <c r="O7" s="54">
        <v>149714230</v>
      </c>
    </row>
    <row r="8" spans="1:15" x14ac:dyDescent="0.3">
      <c r="A8" s="53" t="str">
        <f t="shared" si="0"/>
        <v>개인약정형(7일~30일)</v>
      </c>
      <c r="B8" s="53" t="str">
        <f t="shared" si="1"/>
        <v>약정형(7일~30일)</v>
      </c>
      <c r="C8" s="65">
        <v>46081</v>
      </c>
      <c r="D8" s="49" t="s">
        <v>211</v>
      </c>
      <c r="E8" s="53" t="s">
        <v>298</v>
      </c>
      <c r="F8" s="54">
        <v>7982020000</v>
      </c>
      <c r="G8" s="54">
        <v>0</v>
      </c>
      <c r="H8" s="54">
        <v>0</v>
      </c>
      <c r="I8" s="54">
        <v>0</v>
      </c>
      <c r="J8" s="54">
        <v>0</v>
      </c>
      <c r="K8" s="55">
        <v>0</v>
      </c>
      <c r="L8" s="54">
        <v>0</v>
      </c>
      <c r="M8" s="54">
        <v>0</v>
      </c>
      <c r="N8" s="54">
        <v>10821377</v>
      </c>
      <c r="O8" s="54">
        <v>0</v>
      </c>
    </row>
    <row r="9" spans="1:15" x14ac:dyDescent="0.3">
      <c r="A9" s="53" t="str">
        <f t="shared" si="0"/>
        <v>개인약정형(7일~30일)</v>
      </c>
      <c r="B9" s="53" t="str">
        <f t="shared" si="1"/>
        <v>약정형(7일~30일)</v>
      </c>
      <c r="C9" s="65">
        <v>46081</v>
      </c>
      <c r="D9" s="49" t="s">
        <v>211</v>
      </c>
      <c r="E9" s="53" t="s">
        <v>49</v>
      </c>
      <c r="F9" s="54">
        <v>5000000000</v>
      </c>
      <c r="G9" s="54">
        <v>15543380000</v>
      </c>
      <c r="H9" s="54">
        <v>18002980000</v>
      </c>
      <c r="I9" s="54">
        <v>18002980000</v>
      </c>
      <c r="J9" s="54">
        <v>34457690000</v>
      </c>
      <c r="K9" s="55">
        <v>2.4405000000000001</v>
      </c>
      <c r="L9" s="54">
        <v>0</v>
      </c>
      <c r="M9" s="54">
        <v>27449756</v>
      </c>
      <c r="N9" s="54">
        <v>36841939</v>
      </c>
      <c r="O9" s="54">
        <v>9295144</v>
      </c>
    </row>
    <row r="10" spans="1:15" x14ac:dyDescent="0.3">
      <c r="A10" s="53" t="str">
        <f t="shared" si="0"/>
        <v>개인약정형(31일~90일)</v>
      </c>
      <c r="B10" s="53" t="str">
        <f t="shared" si="1"/>
        <v>약정형(31일~90일)</v>
      </c>
      <c r="C10" s="65">
        <v>46081</v>
      </c>
      <c r="D10" s="49" t="s">
        <v>211</v>
      </c>
      <c r="E10" s="53" t="s">
        <v>299</v>
      </c>
      <c r="F10" s="54">
        <v>1841030000</v>
      </c>
      <c r="G10" s="54">
        <v>865680000</v>
      </c>
      <c r="H10" s="54">
        <v>605230000</v>
      </c>
      <c r="I10" s="54">
        <v>605230000</v>
      </c>
      <c r="J10" s="54">
        <v>260450000</v>
      </c>
      <c r="K10" s="55">
        <v>2.5</v>
      </c>
      <c r="L10" s="54">
        <v>0</v>
      </c>
      <c r="M10" s="54">
        <v>946861</v>
      </c>
      <c r="N10" s="54">
        <v>3076628</v>
      </c>
      <c r="O10" s="54">
        <v>2445793</v>
      </c>
    </row>
    <row r="11" spans="1:15" x14ac:dyDescent="0.3">
      <c r="A11" s="53" t="str">
        <f t="shared" si="0"/>
        <v>개인약정형(31일~90일)</v>
      </c>
      <c r="B11" s="53" t="str">
        <f t="shared" si="1"/>
        <v>약정형(31일~90일)</v>
      </c>
      <c r="C11" s="65">
        <v>46081</v>
      </c>
      <c r="D11" s="49" t="s">
        <v>211</v>
      </c>
      <c r="E11" s="53" t="s">
        <v>50</v>
      </c>
      <c r="F11" s="54">
        <v>3454930000</v>
      </c>
      <c r="G11" s="54">
        <v>10244250000</v>
      </c>
      <c r="H11" s="54">
        <v>13056990000</v>
      </c>
      <c r="I11" s="54">
        <v>13056990000</v>
      </c>
      <c r="J11" s="54">
        <v>5710500000</v>
      </c>
      <c r="K11" s="55">
        <v>2.4933000000000001</v>
      </c>
      <c r="L11" s="54">
        <v>0</v>
      </c>
      <c r="M11" s="54">
        <v>11009669</v>
      </c>
      <c r="N11" s="54">
        <v>12390851</v>
      </c>
      <c r="O11" s="54">
        <v>21623457</v>
      </c>
    </row>
    <row r="12" spans="1:15" x14ac:dyDescent="0.3">
      <c r="A12" s="53" t="str">
        <f t="shared" si="0"/>
        <v>개인약정형(91일~180일)</v>
      </c>
      <c r="B12" s="53" t="str">
        <f t="shared" si="1"/>
        <v>약정형(91일~180일)</v>
      </c>
      <c r="C12" s="65">
        <v>46081</v>
      </c>
      <c r="D12" s="49" t="s">
        <v>211</v>
      </c>
      <c r="E12" s="53" t="s">
        <v>300</v>
      </c>
      <c r="F12" s="54">
        <v>1961680000</v>
      </c>
      <c r="G12" s="54">
        <v>1846680000</v>
      </c>
      <c r="H12" s="54">
        <v>1711180000</v>
      </c>
      <c r="I12" s="54">
        <v>1711180000</v>
      </c>
      <c r="J12" s="54">
        <v>135500000</v>
      </c>
      <c r="K12" s="55">
        <v>2.85</v>
      </c>
      <c r="L12" s="54">
        <v>0</v>
      </c>
      <c r="M12" s="54">
        <v>198906</v>
      </c>
      <c r="N12" s="54">
        <v>291548</v>
      </c>
      <c r="O12" s="54">
        <v>7883151</v>
      </c>
    </row>
    <row r="13" spans="1:15" x14ac:dyDescent="0.3">
      <c r="A13" s="53" t="str">
        <f t="shared" si="0"/>
        <v>개인약정형(91일~180일)</v>
      </c>
      <c r="B13" s="53" t="str">
        <f t="shared" si="1"/>
        <v>약정형(91일~180일)</v>
      </c>
      <c r="C13" s="65">
        <v>46081</v>
      </c>
      <c r="D13" s="49" t="s">
        <v>211</v>
      </c>
      <c r="E13" s="53" t="s">
        <v>51</v>
      </c>
      <c r="F13" s="54">
        <v>486610000</v>
      </c>
      <c r="G13" s="54">
        <v>7718350000</v>
      </c>
      <c r="H13" s="54">
        <v>13378740000</v>
      </c>
      <c r="I13" s="54">
        <v>13378740000</v>
      </c>
      <c r="J13" s="54">
        <v>658610000</v>
      </c>
      <c r="K13" s="55">
        <v>2.8397999999999999</v>
      </c>
      <c r="L13" s="54">
        <v>0</v>
      </c>
      <c r="M13" s="54">
        <v>116728</v>
      </c>
      <c r="N13" s="54">
        <v>315145</v>
      </c>
      <c r="O13" s="54">
        <v>31265748</v>
      </c>
    </row>
    <row r="14" spans="1:15" x14ac:dyDescent="0.3">
      <c r="A14" s="53" t="str">
        <f t="shared" si="0"/>
        <v>개인약정형(181일~270일)</v>
      </c>
      <c r="B14" s="53" t="str">
        <f t="shared" si="1"/>
        <v>약정형(181일~270일)</v>
      </c>
      <c r="C14" s="65">
        <v>46081</v>
      </c>
      <c r="D14" s="49" t="s">
        <v>211</v>
      </c>
      <c r="E14" s="53" t="s">
        <v>301</v>
      </c>
      <c r="F14" s="54">
        <v>3969000000</v>
      </c>
      <c r="G14" s="54">
        <v>3863290000</v>
      </c>
      <c r="H14" s="54">
        <v>3754290000</v>
      </c>
      <c r="I14" s="54">
        <v>3754290000</v>
      </c>
      <c r="J14" s="54">
        <v>109000000</v>
      </c>
      <c r="K14" s="55">
        <v>3.3</v>
      </c>
      <c r="L14" s="54">
        <v>0</v>
      </c>
      <c r="M14" s="54">
        <v>187339</v>
      </c>
      <c r="N14" s="54">
        <v>264323</v>
      </c>
      <c r="O14" s="54">
        <v>20026315</v>
      </c>
    </row>
    <row r="15" spans="1:15" x14ac:dyDescent="0.3">
      <c r="A15" s="53" t="str">
        <f t="shared" si="0"/>
        <v>개인약정형(181일~270일)</v>
      </c>
      <c r="B15" s="53" t="str">
        <f t="shared" si="1"/>
        <v>약정형(181일~270일)</v>
      </c>
      <c r="C15" s="65">
        <v>46081</v>
      </c>
      <c r="D15" s="49" t="s">
        <v>211</v>
      </c>
      <c r="E15" s="53" t="s">
        <v>52</v>
      </c>
      <c r="F15" s="54">
        <v>360770000</v>
      </c>
      <c r="G15" s="54">
        <v>3871320000</v>
      </c>
      <c r="H15" s="54">
        <v>7627940000</v>
      </c>
      <c r="I15" s="54">
        <v>7627940000</v>
      </c>
      <c r="J15" s="54">
        <v>297300000</v>
      </c>
      <c r="K15" s="55">
        <v>3.0366</v>
      </c>
      <c r="L15" s="54">
        <v>0</v>
      </c>
      <c r="M15" s="54">
        <v>68773</v>
      </c>
      <c r="N15" s="54">
        <v>141807</v>
      </c>
      <c r="O15" s="54">
        <v>17386765</v>
      </c>
    </row>
    <row r="16" spans="1:15" x14ac:dyDescent="0.3">
      <c r="A16" s="53" t="str">
        <f t="shared" si="0"/>
        <v>개인약정형(271일~364일)</v>
      </c>
      <c r="B16" s="53" t="str">
        <f t="shared" si="1"/>
        <v>약정형(271일~364일)</v>
      </c>
      <c r="C16" s="65">
        <v>46081</v>
      </c>
      <c r="D16" s="49" t="s">
        <v>211</v>
      </c>
      <c r="E16" s="53" t="s">
        <v>302</v>
      </c>
      <c r="F16" s="54">
        <v>2000000000</v>
      </c>
      <c r="G16" s="54">
        <v>1818000000</v>
      </c>
      <c r="H16" s="54">
        <v>1816000000</v>
      </c>
      <c r="I16" s="54">
        <v>1816000000</v>
      </c>
      <c r="J16" s="54">
        <v>2000000</v>
      </c>
      <c r="K16" s="55">
        <v>3.4</v>
      </c>
      <c r="L16" s="54">
        <v>0</v>
      </c>
      <c r="M16" s="54">
        <v>2962</v>
      </c>
      <c r="N16" s="54">
        <v>174600</v>
      </c>
      <c r="O16" s="54">
        <v>9980534</v>
      </c>
    </row>
    <row r="17" spans="1:15" x14ac:dyDescent="0.3">
      <c r="A17" s="53" t="str">
        <f t="shared" si="0"/>
        <v>개인약정형(271일~364일)</v>
      </c>
      <c r="B17" s="53" t="str">
        <f t="shared" si="1"/>
        <v>약정형(271일~364일)</v>
      </c>
      <c r="C17" s="65">
        <v>46081</v>
      </c>
      <c r="D17" s="49" t="s">
        <v>211</v>
      </c>
      <c r="E17" s="53" t="s">
        <v>53</v>
      </c>
      <c r="F17" s="54">
        <v>203680000</v>
      </c>
      <c r="G17" s="54">
        <v>12128690000</v>
      </c>
      <c r="H17" s="54">
        <v>25461810000</v>
      </c>
      <c r="I17" s="54">
        <v>25461810000</v>
      </c>
      <c r="J17" s="54">
        <v>1849060000</v>
      </c>
      <c r="K17" s="55">
        <v>3.2429999999999999</v>
      </c>
      <c r="L17" s="54">
        <v>0</v>
      </c>
      <c r="M17" s="54">
        <v>603254</v>
      </c>
      <c r="N17" s="54">
        <v>843616</v>
      </c>
      <c r="O17" s="54">
        <v>55330953</v>
      </c>
    </row>
    <row r="18" spans="1:15" x14ac:dyDescent="0.3">
      <c r="A18" s="53" t="str">
        <f t="shared" si="0"/>
        <v>개인약정형(365일)</v>
      </c>
      <c r="B18" s="53" t="str">
        <f t="shared" si="1"/>
        <v>약정형(365일)</v>
      </c>
      <c r="C18" s="65">
        <v>46081</v>
      </c>
      <c r="D18" s="49" t="s">
        <v>211</v>
      </c>
      <c r="E18" s="53" t="s">
        <v>54</v>
      </c>
      <c r="F18" s="54">
        <v>19829950000</v>
      </c>
      <c r="G18" s="54">
        <v>19518960000</v>
      </c>
      <c r="H18" s="54">
        <v>19185960000</v>
      </c>
      <c r="I18" s="54">
        <v>19185960000</v>
      </c>
      <c r="J18" s="54">
        <v>333000000</v>
      </c>
      <c r="K18" s="55">
        <v>3.45</v>
      </c>
      <c r="L18" s="54">
        <v>0</v>
      </c>
      <c r="M18" s="54">
        <v>593847</v>
      </c>
      <c r="N18" s="54">
        <v>884888</v>
      </c>
      <c r="O18" s="54">
        <v>106994593</v>
      </c>
    </row>
    <row r="19" spans="1:15" x14ac:dyDescent="0.3">
      <c r="A19" s="53" t="str">
        <f t="shared" si="0"/>
        <v>개인약정형(365일)</v>
      </c>
      <c r="B19" s="53" t="str">
        <f t="shared" si="1"/>
        <v>약정형(365일)</v>
      </c>
      <c r="C19" s="65">
        <v>46081</v>
      </c>
      <c r="D19" s="49" t="s">
        <v>211</v>
      </c>
      <c r="E19" s="53" t="s">
        <v>54</v>
      </c>
      <c r="F19" s="54">
        <v>2121680000</v>
      </c>
      <c r="G19" s="54">
        <v>18359020000</v>
      </c>
      <c r="H19" s="54">
        <v>36062680000</v>
      </c>
      <c r="I19" s="54">
        <v>36062680000</v>
      </c>
      <c r="J19" s="54">
        <v>2089190000</v>
      </c>
      <c r="K19" s="55">
        <v>3.2349000000000001</v>
      </c>
      <c r="L19" s="54">
        <v>0</v>
      </c>
      <c r="M19" s="54">
        <v>1039673</v>
      </c>
      <c r="N19" s="54">
        <v>1796564</v>
      </c>
      <c r="O19" s="54">
        <v>87999507</v>
      </c>
    </row>
    <row r="20" spans="1:15" x14ac:dyDescent="0.3">
      <c r="A20" s="53" t="str">
        <f t="shared" si="0"/>
        <v/>
      </c>
      <c r="B20" s="53" t="str">
        <f t="shared" si="1"/>
        <v/>
      </c>
      <c r="E20" s="58" t="s">
        <v>55</v>
      </c>
      <c r="F20" s="59">
        <v>110105110000</v>
      </c>
      <c r="G20" s="59">
        <v>255945920000</v>
      </c>
      <c r="H20" s="59">
        <v>332936540000</v>
      </c>
      <c r="I20" s="59">
        <v>332936540000</v>
      </c>
      <c r="J20" s="59">
        <v>665265480000</v>
      </c>
      <c r="K20" s="60">
        <v>2.6997</v>
      </c>
      <c r="L20" s="59">
        <v>0</v>
      </c>
      <c r="M20" s="59">
        <v>364394940</v>
      </c>
      <c r="N20" s="59">
        <v>525149082</v>
      </c>
      <c r="O20" s="59">
        <v>532342668</v>
      </c>
    </row>
    <row r="21" spans="1:15" x14ac:dyDescent="0.3">
      <c r="A21" s="53" t="str">
        <f t="shared" si="0"/>
        <v>법인수시형(1일~365일)</v>
      </c>
      <c r="B21" s="53" t="str">
        <f t="shared" si="1"/>
        <v>수시형(1일~365일)</v>
      </c>
      <c r="C21" s="65">
        <v>46081</v>
      </c>
      <c r="D21" s="49" t="s">
        <v>211</v>
      </c>
      <c r="E21" s="53" t="s">
        <v>56</v>
      </c>
      <c r="F21" s="54">
        <v>3082870000</v>
      </c>
      <c r="G21" s="54">
        <v>3569750000</v>
      </c>
      <c r="H21" s="54">
        <v>4857490000</v>
      </c>
      <c r="I21" s="54">
        <v>4857490000</v>
      </c>
      <c r="J21" s="54">
        <v>2242880000</v>
      </c>
      <c r="K21" s="55">
        <v>2.2000000000000002</v>
      </c>
      <c r="L21" s="54">
        <v>0</v>
      </c>
      <c r="M21" s="54">
        <v>506208</v>
      </c>
      <c r="N21" s="54">
        <v>1392969</v>
      </c>
      <c r="O21" s="54">
        <v>11539617</v>
      </c>
    </row>
    <row r="22" spans="1:15" x14ac:dyDescent="0.3">
      <c r="A22" s="53" t="str">
        <f t="shared" si="0"/>
        <v>법인약정형(7일~30일)</v>
      </c>
      <c r="B22" s="53" t="str">
        <f t="shared" si="1"/>
        <v>약정형(7일~30일)</v>
      </c>
      <c r="C22" s="65">
        <v>46081</v>
      </c>
      <c r="D22" s="49" t="s">
        <v>211</v>
      </c>
      <c r="E22" s="53" t="s">
        <v>303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5">
        <v>0</v>
      </c>
      <c r="L22" s="54">
        <v>0</v>
      </c>
      <c r="M22" s="54">
        <v>0</v>
      </c>
      <c r="N22" s="54">
        <v>0</v>
      </c>
      <c r="O22" s="54">
        <v>0</v>
      </c>
    </row>
    <row r="23" spans="1:15" x14ac:dyDescent="0.3">
      <c r="A23" s="53" t="str">
        <f t="shared" si="0"/>
        <v>법인약정형(31일~90일)</v>
      </c>
      <c r="B23" s="53" t="str">
        <f t="shared" si="1"/>
        <v>약정형(31일~90일)</v>
      </c>
      <c r="C23" s="65">
        <v>46081</v>
      </c>
      <c r="D23" s="49" t="s">
        <v>211</v>
      </c>
      <c r="E23" s="53" t="s">
        <v>304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5">
        <v>0</v>
      </c>
      <c r="L23" s="54">
        <v>0</v>
      </c>
      <c r="M23" s="54">
        <v>0</v>
      </c>
      <c r="N23" s="54">
        <v>0</v>
      </c>
      <c r="O23" s="54">
        <v>0</v>
      </c>
    </row>
    <row r="24" spans="1:15" x14ac:dyDescent="0.3">
      <c r="A24" s="53" t="str">
        <f t="shared" si="0"/>
        <v>법인약정형(91일~180일)</v>
      </c>
      <c r="B24" s="53" t="str">
        <f t="shared" si="1"/>
        <v>약정형(91일~180일)</v>
      </c>
      <c r="C24" s="65">
        <v>46081</v>
      </c>
      <c r="D24" s="49" t="s">
        <v>211</v>
      </c>
      <c r="E24" s="53" t="s">
        <v>305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5">
        <v>0</v>
      </c>
      <c r="L24" s="54">
        <v>0</v>
      </c>
      <c r="M24" s="54">
        <v>0</v>
      </c>
      <c r="N24" s="54">
        <v>0</v>
      </c>
      <c r="O24" s="54">
        <v>0</v>
      </c>
    </row>
    <row r="25" spans="1:15" x14ac:dyDescent="0.3">
      <c r="A25" s="53" t="str">
        <f t="shared" si="0"/>
        <v>법인약정형(181일~270일)</v>
      </c>
      <c r="B25" s="53" t="str">
        <f t="shared" si="1"/>
        <v>약정형(181일~270일)</v>
      </c>
      <c r="C25" s="65">
        <v>46081</v>
      </c>
      <c r="D25" s="49" t="s">
        <v>211</v>
      </c>
      <c r="E25" s="53" t="s">
        <v>306</v>
      </c>
      <c r="F25" s="54">
        <v>2050000000</v>
      </c>
      <c r="G25" s="54">
        <v>2050000000</v>
      </c>
      <c r="H25" s="54">
        <v>2050000000</v>
      </c>
      <c r="I25" s="54">
        <v>2050000000</v>
      </c>
      <c r="J25" s="54">
        <v>0</v>
      </c>
      <c r="K25" s="55">
        <v>3.3</v>
      </c>
      <c r="L25" s="54">
        <v>0</v>
      </c>
      <c r="M25" s="54">
        <v>0</v>
      </c>
      <c r="N25" s="54">
        <v>0</v>
      </c>
      <c r="O25" s="54">
        <v>10935206</v>
      </c>
    </row>
    <row r="26" spans="1:15" x14ac:dyDescent="0.3">
      <c r="A26" s="53" t="str">
        <f t="shared" si="0"/>
        <v>법인약정형(181일~270일)</v>
      </c>
      <c r="B26" s="53" t="str">
        <f t="shared" si="1"/>
        <v>약정형(181일~270일)</v>
      </c>
      <c r="C26" s="65">
        <v>46081</v>
      </c>
      <c r="D26" s="49" t="s">
        <v>211</v>
      </c>
      <c r="E26" s="53" t="s">
        <v>307</v>
      </c>
      <c r="F26" s="54">
        <v>0</v>
      </c>
      <c r="G26" s="54">
        <v>34000000000</v>
      </c>
      <c r="H26" s="54">
        <v>54000000000</v>
      </c>
      <c r="I26" s="54">
        <v>54000000000</v>
      </c>
      <c r="J26" s="54">
        <v>0</v>
      </c>
      <c r="K26" s="55">
        <v>3.05</v>
      </c>
      <c r="L26" s="54">
        <v>0</v>
      </c>
      <c r="M26" s="54">
        <v>0</v>
      </c>
      <c r="N26" s="54">
        <v>0</v>
      </c>
      <c r="O26" s="54">
        <v>132027396</v>
      </c>
    </row>
    <row r="27" spans="1:15" x14ac:dyDescent="0.3">
      <c r="A27" s="53" t="str">
        <f t="shared" si="0"/>
        <v>법인약정형(271일~364일)</v>
      </c>
      <c r="B27" s="53" t="str">
        <f t="shared" si="1"/>
        <v>약정형(271일~364일)</v>
      </c>
      <c r="C27" s="65">
        <v>46081</v>
      </c>
      <c r="D27" s="49" t="s">
        <v>211</v>
      </c>
      <c r="E27" s="53" t="s">
        <v>308</v>
      </c>
      <c r="F27" s="54">
        <v>215080000000</v>
      </c>
      <c r="G27" s="54">
        <v>215080000000</v>
      </c>
      <c r="H27" s="54">
        <v>215080000000</v>
      </c>
      <c r="I27" s="54">
        <v>215080000000</v>
      </c>
      <c r="J27" s="54">
        <v>0</v>
      </c>
      <c r="K27" s="55">
        <v>3.4</v>
      </c>
      <c r="L27" s="54">
        <v>0</v>
      </c>
      <c r="M27" s="54">
        <v>0</v>
      </c>
      <c r="N27" s="54">
        <v>0</v>
      </c>
      <c r="O27" s="54">
        <v>1182056109</v>
      </c>
    </row>
    <row r="28" spans="1:15" x14ac:dyDescent="0.3">
      <c r="A28" s="53" t="str">
        <f t="shared" si="0"/>
        <v>법인약정형(271일~364일)</v>
      </c>
      <c r="B28" s="53" t="str">
        <f t="shared" si="1"/>
        <v>약정형(271일~364일)</v>
      </c>
      <c r="C28" s="65">
        <v>46081</v>
      </c>
      <c r="D28" s="49" t="s">
        <v>211</v>
      </c>
      <c r="E28" s="53" t="s">
        <v>309</v>
      </c>
      <c r="F28" s="54">
        <v>0</v>
      </c>
      <c r="G28" s="54">
        <v>170000000000</v>
      </c>
      <c r="H28" s="54">
        <v>190000000000</v>
      </c>
      <c r="I28" s="54">
        <v>190000000000</v>
      </c>
      <c r="J28" s="54">
        <v>0</v>
      </c>
      <c r="K28" s="55">
        <v>3.2</v>
      </c>
      <c r="L28" s="54">
        <v>0</v>
      </c>
      <c r="M28" s="54">
        <v>0</v>
      </c>
      <c r="N28" s="54">
        <v>1578082</v>
      </c>
      <c r="O28" s="54">
        <v>625095885</v>
      </c>
    </row>
    <row r="29" spans="1:15" x14ac:dyDescent="0.3">
      <c r="A29" s="53" t="str">
        <f t="shared" si="0"/>
        <v>법인약정형(365일)</v>
      </c>
      <c r="B29" s="53" t="str">
        <f t="shared" si="1"/>
        <v>약정형(365일)</v>
      </c>
      <c r="C29" s="65">
        <v>46081</v>
      </c>
      <c r="D29" s="49" t="s">
        <v>211</v>
      </c>
      <c r="E29" s="53" t="s">
        <v>57</v>
      </c>
      <c r="F29" s="54">
        <v>3410000000</v>
      </c>
      <c r="G29" s="54">
        <v>3410000000</v>
      </c>
      <c r="H29" s="54">
        <v>3410000000</v>
      </c>
      <c r="I29" s="54">
        <v>3410000000</v>
      </c>
      <c r="J29" s="54">
        <v>0</v>
      </c>
      <c r="K29" s="55">
        <v>3.4</v>
      </c>
      <c r="L29" s="54">
        <v>0</v>
      </c>
      <c r="M29" s="54">
        <v>0</v>
      </c>
      <c r="N29" s="54">
        <v>0</v>
      </c>
      <c r="O29" s="54">
        <v>18740987</v>
      </c>
    </row>
    <row r="30" spans="1:15" x14ac:dyDescent="0.3">
      <c r="A30" s="53" t="str">
        <f t="shared" si="0"/>
        <v>법인약정형(365일)</v>
      </c>
      <c r="B30" s="53" t="str">
        <f t="shared" si="1"/>
        <v>약정형(365일)</v>
      </c>
      <c r="C30" s="65">
        <v>46081</v>
      </c>
      <c r="D30" s="49" t="s">
        <v>211</v>
      </c>
      <c r="E30" s="53" t="s">
        <v>310</v>
      </c>
      <c r="F30" s="54">
        <v>0</v>
      </c>
      <c r="G30" s="54">
        <v>80000000000</v>
      </c>
      <c r="H30" s="54">
        <v>101000000000</v>
      </c>
      <c r="I30" s="54">
        <v>101000000000</v>
      </c>
      <c r="J30" s="54">
        <v>0</v>
      </c>
      <c r="K30" s="55">
        <v>3.2</v>
      </c>
      <c r="L30" s="54">
        <v>0</v>
      </c>
      <c r="M30" s="54">
        <v>0</v>
      </c>
      <c r="N30" s="54">
        <v>0</v>
      </c>
      <c r="O30" s="54">
        <v>270553421</v>
      </c>
    </row>
    <row r="31" spans="1:15" x14ac:dyDescent="0.3">
      <c r="A31" s="53" t="str">
        <f t="shared" si="0"/>
        <v/>
      </c>
      <c r="B31" s="53" t="str">
        <f t="shared" si="1"/>
        <v/>
      </c>
      <c r="E31" s="58" t="s">
        <v>58</v>
      </c>
      <c r="F31" s="59">
        <v>223622870000</v>
      </c>
      <c r="G31" s="59">
        <v>508109750000</v>
      </c>
      <c r="H31" s="59">
        <v>570397490000</v>
      </c>
      <c r="I31" s="59">
        <v>570397490000</v>
      </c>
      <c r="J31" s="59">
        <v>2242880000</v>
      </c>
      <c r="K31" s="60">
        <v>3.2542</v>
      </c>
      <c r="L31" s="59">
        <v>0</v>
      </c>
      <c r="M31" s="59">
        <v>506208</v>
      </c>
      <c r="N31" s="59">
        <v>2971051</v>
      </c>
      <c r="O31" s="59">
        <v>2250948621</v>
      </c>
    </row>
    <row r="32" spans="1:15" x14ac:dyDescent="0.3">
      <c r="A32" s="53" t="str">
        <f t="shared" si="0"/>
        <v/>
      </c>
      <c r="B32" s="53" t="str">
        <f t="shared" si="1"/>
        <v/>
      </c>
      <c r="E32" s="61" t="s">
        <v>59</v>
      </c>
      <c r="F32" s="62">
        <v>333727980000</v>
      </c>
      <c r="G32" s="62">
        <v>764055670000</v>
      </c>
      <c r="H32" s="62">
        <v>903334030000</v>
      </c>
      <c r="I32" s="62">
        <v>903334030000</v>
      </c>
      <c r="J32" s="62">
        <v>667508360000</v>
      </c>
      <c r="K32" s="63">
        <v>3.0497999999999998</v>
      </c>
      <c r="L32" s="62">
        <v>0</v>
      </c>
      <c r="M32" s="62">
        <v>364901148</v>
      </c>
      <c r="N32" s="62">
        <v>528120133</v>
      </c>
      <c r="O32" s="62">
        <v>2783291289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0C3B-0D26-4A56-B4E0-3476BBCFFC45}">
  <dimension ref="A2:AH62"/>
  <sheetViews>
    <sheetView zoomScale="85" zoomScaleNormal="85" workbookViewId="0">
      <selection activeCell="I8" sqref="I8"/>
    </sheetView>
  </sheetViews>
  <sheetFormatPr defaultRowHeight="16.5" x14ac:dyDescent="0.3"/>
  <cols>
    <col min="1" max="1" width="25.5" bestFit="1" customWidth="1"/>
    <col min="2" max="2" width="5.625" style="49" bestFit="1" customWidth="1"/>
    <col min="4" max="4" width="11.625" bestFit="1" customWidth="1"/>
    <col min="5" max="5" width="10" bestFit="1" customWidth="1"/>
    <col min="7" max="7" width="44.75" bestFit="1" customWidth="1"/>
    <col min="8" max="8" width="7.75" customWidth="1"/>
    <col min="9" max="9" width="38.125" bestFit="1" customWidth="1"/>
    <col min="11" max="14" width="16.625" style="48" bestFit="1" customWidth="1"/>
    <col min="15" max="16" width="13.625" style="48" bestFit="1" customWidth="1"/>
    <col min="17" max="17" width="12.625" style="48" bestFit="1" customWidth="1"/>
    <col min="18" max="18" width="13.625" style="48" bestFit="1" customWidth="1"/>
    <col min="31" max="31" width="16.625" style="48" bestFit="1" customWidth="1"/>
  </cols>
  <sheetData>
    <row r="2" spans="1:34" x14ac:dyDescent="0.3">
      <c r="C2" s="67" t="s">
        <v>223</v>
      </c>
      <c r="D2" s="68"/>
      <c r="E2" s="52" t="s">
        <v>222</v>
      </c>
    </row>
    <row r="4" spans="1:34" x14ac:dyDescent="0.3">
      <c r="A4" s="4" t="s">
        <v>220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66</v>
      </c>
      <c r="J4" s="6" t="s">
        <v>67</v>
      </c>
      <c r="K4" s="47" t="s">
        <v>68</v>
      </c>
      <c r="L4" s="47" t="s">
        <v>69</v>
      </c>
      <c r="M4" s="47" t="s">
        <v>70</v>
      </c>
      <c r="N4" s="47" t="s">
        <v>71</v>
      </c>
      <c r="O4" s="47" t="s">
        <v>72</v>
      </c>
      <c r="P4" s="47" t="s">
        <v>73</v>
      </c>
      <c r="Q4" s="47" t="s">
        <v>74</v>
      </c>
      <c r="R4" s="47" t="s">
        <v>75</v>
      </c>
      <c r="S4" s="6" t="s">
        <v>76</v>
      </c>
      <c r="T4" s="6" t="s">
        <v>77</v>
      </c>
      <c r="U4" s="6" t="s">
        <v>78</v>
      </c>
      <c r="V4" s="6" t="s">
        <v>79</v>
      </c>
      <c r="W4" s="6" t="s">
        <v>80</v>
      </c>
      <c r="X4" s="6" t="s">
        <v>81</v>
      </c>
      <c r="Y4" s="6" t="s">
        <v>82</v>
      </c>
      <c r="Z4" s="6" t="s">
        <v>83</v>
      </c>
      <c r="AA4" s="6" t="s">
        <v>84</v>
      </c>
      <c r="AB4" s="6" t="s">
        <v>85</v>
      </c>
      <c r="AC4" s="6" t="s">
        <v>86</v>
      </c>
      <c r="AD4" s="6" t="s">
        <v>87</v>
      </c>
      <c r="AE4" s="47" t="s">
        <v>88</v>
      </c>
      <c r="AF4" s="6" t="s">
        <v>89</v>
      </c>
      <c r="AH4" s="66" t="s">
        <v>239</v>
      </c>
    </row>
    <row r="5" spans="1:34" x14ac:dyDescent="0.3">
      <c r="A5" s="70" t="s">
        <v>212</v>
      </c>
      <c r="B5" s="49" t="s">
        <v>211</v>
      </c>
      <c r="C5" s="70" t="s">
        <v>213</v>
      </c>
      <c r="D5" s="70"/>
      <c r="E5" s="70"/>
      <c r="F5" s="70"/>
      <c r="G5" s="70"/>
      <c r="H5" s="70"/>
      <c r="I5" s="70" t="s">
        <v>215</v>
      </c>
      <c r="J5" s="70" t="s">
        <v>93</v>
      </c>
      <c r="K5" s="71">
        <v>40000000000</v>
      </c>
      <c r="L5" s="71">
        <v>0</v>
      </c>
      <c r="M5" s="71">
        <v>40000000000</v>
      </c>
      <c r="N5" s="71">
        <v>40000000000</v>
      </c>
      <c r="O5" s="71">
        <v>0</v>
      </c>
      <c r="P5" s="71"/>
      <c r="Q5" s="71"/>
      <c r="R5" s="71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1">
        <v>40000000000</v>
      </c>
      <c r="AF5" s="70"/>
      <c r="AH5">
        <v>2.7397260273972603E-3</v>
      </c>
    </row>
    <row r="6" spans="1:34" x14ac:dyDescent="0.3">
      <c r="A6" s="70" t="s">
        <v>212</v>
      </c>
      <c r="B6" s="49" t="s">
        <v>211</v>
      </c>
      <c r="C6" s="70" t="s">
        <v>213</v>
      </c>
      <c r="D6" s="70"/>
      <c r="E6" s="70"/>
      <c r="F6" s="70"/>
      <c r="G6" s="70"/>
      <c r="H6" s="70"/>
      <c r="I6" s="70" t="s">
        <v>214</v>
      </c>
      <c r="J6" s="70" t="s">
        <v>93</v>
      </c>
      <c r="K6" s="71">
        <v>225390876110</v>
      </c>
      <c r="L6" s="71">
        <v>0</v>
      </c>
      <c r="M6" s="71">
        <v>225390876110</v>
      </c>
      <c r="N6" s="71">
        <v>225390876110</v>
      </c>
      <c r="O6" s="71">
        <v>0</v>
      </c>
      <c r="P6" s="71"/>
      <c r="Q6" s="71"/>
      <c r="R6" s="71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1">
        <v>225390876110</v>
      </c>
      <c r="AF6" s="70"/>
      <c r="AH6">
        <v>2.7397260273972603E-3</v>
      </c>
    </row>
    <row r="7" spans="1:34" x14ac:dyDescent="0.3">
      <c r="A7" t="s">
        <v>183</v>
      </c>
      <c r="B7" s="49" t="s">
        <v>211</v>
      </c>
      <c r="C7" s="50" t="s">
        <v>90</v>
      </c>
      <c r="D7" s="69">
        <v>46057</v>
      </c>
      <c r="E7" s="50">
        <v>20290202</v>
      </c>
      <c r="F7" s="50">
        <v>110975</v>
      </c>
      <c r="G7" s="50" t="s">
        <v>91</v>
      </c>
      <c r="H7" s="50" t="s">
        <v>92</v>
      </c>
      <c r="I7" t="s">
        <v>240</v>
      </c>
      <c r="J7" t="s">
        <v>93</v>
      </c>
      <c r="K7" s="51">
        <v>10024343820</v>
      </c>
      <c r="L7" s="51">
        <v>0</v>
      </c>
      <c r="M7" s="51">
        <v>10056590000</v>
      </c>
      <c r="N7" s="51">
        <v>10000000000</v>
      </c>
      <c r="O7" s="51">
        <v>32246180</v>
      </c>
      <c r="P7" s="51">
        <v>0</v>
      </c>
      <c r="Q7" s="51">
        <v>0</v>
      </c>
      <c r="R7" s="51">
        <v>24343820</v>
      </c>
      <c r="S7" s="50" t="s">
        <v>94</v>
      </c>
      <c r="T7" s="50" t="s">
        <v>94</v>
      </c>
      <c r="U7" s="50">
        <v>3.6110000000000002</v>
      </c>
      <c r="V7" s="50"/>
      <c r="W7" s="50"/>
      <c r="X7" s="50" t="s">
        <v>95</v>
      </c>
      <c r="Y7" s="50" t="s">
        <v>96</v>
      </c>
      <c r="Z7" s="50" t="s">
        <v>97</v>
      </c>
      <c r="AA7" s="50" t="s">
        <v>98</v>
      </c>
      <c r="AB7" s="50" t="s">
        <v>99</v>
      </c>
      <c r="AC7" s="50" t="s">
        <v>100</v>
      </c>
      <c r="AD7" s="50">
        <v>1070</v>
      </c>
      <c r="AE7" s="51">
        <v>10032246180</v>
      </c>
      <c r="AF7" s="50">
        <v>1.5699999999999999E-2</v>
      </c>
      <c r="AH7">
        <v>2.7613699999999999</v>
      </c>
    </row>
    <row r="8" spans="1:34" x14ac:dyDescent="0.3">
      <c r="A8" t="s">
        <v>183</v>
      </c>
      <c r="B8" s="49" t="s">
        <v>211</v>
      </c>
      <c r="C8" s="50" t="s">
        <v>90</v>
      </c>
      <c r="D8" s="69">
        <v>46051</v>
      </c>
      <c r="E8" s="50">
        <v>20290129</v>
      </c>
      <c r="F8" s="50">
        <v>110975</v>
      </c>
      <c r="G8" s="50" t="s">
        <v>91</v>
      </c>
      <c r="H8" s="50" t="s">
        <v>101</v>
      </c>
      <c r="I8" t="s">
        <v>261</v>
      </c>
      <c r="J8" t="s">
        <v>93</v>
      </c>
      <c r="K8" s="51">
        <v>10028416666</v>
      </c>
      <c r="L8" s="51">
        <v>0</v>
      </c>
      <c r="M8" s="51">
        <v>10013180000</v>
      </c>
      <c r="N8" s="51">
        <v>10000000000</v>
      </c>
      <c r="O8" s="51">
        <v>-15236666</v>
      </c>
      <c r="P8" s="51">
        <v>0</v>
      </c>
      <c r="Q8" s="51">
        <v>0</v>
      </c>
      <c r="R8" s="51">
        <v>28416666</v>
      </c>
      <c r="S8" s="50" t="s">
        <v>94</v>
      </c>
      <c r="T8" s="50" t="s">
        <v>94</v>
      </c>
      <c r="U8" s="50">
        <v>3.41</v>
      </c>
      <c r="V8" s="50"/>
      <c r="W8" s="50"/>
      <c r="X8" s="50" t="s">
        <v>95</v>
      </c>
      <c r="Y8" s="50" t="s">
        <v>96</v>
      </c>
      <c r="Z8" s="50" t="s">
        <v>97</v>
      </c>
      <c r="AA8" s="50" t="s">
        <v>98</v>
      </c>
      <c r="AB8" s="50" t="s">
        <v>99</v>
      </c>
      <c r="AC8" s="50" t="s">
        <v>100</v>
      </c>
      <c r="AD8" s="50">
        <v>1066</v>
      </c>
      <c r="AE8" s="51">
        <v>9984763334</v>
      </c>
      <c r="AF8" s="50">
        <v>1.562E-2</v>
      </c>
      <c r="AH8">
        <v>2.7560699999999998</v>
      </c>
    </row>
    <row r="9" spans="1:34" x14ac:dyDescent="0.3">
      <c r="A9" t="s">
        <v>183</v>
      </c>
      <c r="B9" s="49" t="s">
        <v>211</v>
      </c>
      <c r="C9" t="s">
        <v>90</v>
      </c>
      <c r="D9" s="5">
        <v>46059</v>
      </c>
      <c r="E9">
        <v>20280707</v>
      </c>
      <c r="F9">
        <v>110975</v>
      </c>
      <c r="G9" t="s">
        <v>91</v>
      </c>
      <c r="H9" t="s">
        <v>102</v>
      </c>
      <c r="I9" t="s">
        <v>262</v>
      </c>
      <c r="J9" t="s">
        <v>93</v>
      </c>
      <c r="K9" s="48">
        <v>9891457778</v>
      </c>
      <c r="L9" s="48">
        <v>0</v>
      </c>
      <c r="M9" s="48">
        <v>9926870000</v>
      </c>
      <c r="N9" s="48">
        <v>9846351112</v>
      </c>
      <c r="O9" s="48">
        <v>35412222</v>
      </c>
      <c r="P9" s="48">
        <v>0</v>
      </c>
      <c r="Q9" s="48">
        <v>25648888</v>
      </c>
      <c r="R9" s="48">
        <v>19457778</v>
      </c>
      <c r="S9" t="s">
        <v>94</v>
      </c>
      <c r="T9" t="s">
        <v>94</v>
      </c>
      <c r="U9">
        <v>3.1840000000000002</v>
      </c>
      <c r="X9" t="s">
        <v>95</v>
      </c>
      <c r="Y9" t="s">
        <v>96</v>
      </c>
      <c r="Z9" t="s">
        <v>97</v>
      </c>
      <c r="AA9" t="s">
        <v>98</v>
      </c>
      <c r="AB9" t="s">
        <v>99</v>
      </c>
      <c r="AC9" t="s">
        <v>100</v>
      </c>
      <c r="AD9">
        <v>860</v>
      </c>
      <c r="AE9" s="48">
        <v>9881763334</v>
      </c>
      <c r="AF9">
        <v>1.546E-2</v>
      </c>
      <c r="AH9">
        <v>2.2456800000000001</v>
      </c>
    </row>
    <row r="10" spans="1:34" x14ac:dyDescent="0.3">
      <c r="A10" t="s">
        <v>183</v>
      </c>
      <c r="B10" s="49" t="s">
        <v>211</v>
      </c>
      <c r="C10" t="s">
        <v>90</v>
      </c>
      <c r="D10" s="5">
        <v>46055</v>
      </c>
      <c r="E10">
        <v>20290202</v>
      </c>
      <c r="F10">
        <v>110975</v>
      </c>
      <c r="G10" t="s">
        <v>91</v>
      </c>
      <c r="H10" t="s">
        <v>103</v>
      </c>
      <c r="I10" t="s">
        <v>263</v>
      </c>
      <c r="J10" t="s">
        <v>93</v>
      </c>
      <c r="K10" s="48">
        <v>20053971910</v>
      </c>
      <c r="L10" s="48">
        <v>0</v>
      </c>
      <c r="M10" s="48">
        <v>20078880000</v>
      </c>
      <c r="N10" s="48">
        <v>20000000000</v>
      </c>
      <c r="O10" s="48">
        <v>24908090</v>
      </c>
      <c r="P10" s="48">
        <v>0</v>
      </c>
      <c r="Q10" s="48">
        <v>0</v>
      </c>
      <c r="R10" s="48">
        <v>53971910</v>
      </c>
      <c r="S10" t="s">
        <v>94</v>
      </c>
      <c r="T10" t="s">
        <v>94</v>
      </c>
      <c r="U10">
        <v>3.6949999999999998</v>
      </c>
      <c r="X10" t="s">
        <v>95</v>
      </c>
      <c r="Y10" t="s">
        <v>96</v>
      </c>
      <c r="Z10" t="s">
        <v>97</v>
      </c>
      <c r="AA10" t="s">
        <v>98</v>
      </c>
      <c r="AB10" t="s">
        <v>99</v>
      </c>
      <c r="AC10" t="s">
        <v>100</v>
      </c>
      <c r="AD10">
        <v>1070</v>
      </c>
      <c r="AE10" s="48">
        <v>20024908090</v>
      </c>
      <c r="AF10">
        <v>3.134E-2</v>
      </c>
      <c r="AH10">
        <v>2.7544599999999999</v>
      </c>
    </row>
    <row r="11" spans="1:34" x14ac:dyDescent="0.3">
      <c r="A11" t="s">
        <v>183</v>
      </c>
      <c r="B11" s="49" t="s">
        <v>211</v>
      </c>
      <c r="C11" t="s">
        <v>90</v>
      </c>
      <c r="D11" s="5">
        <v>46055</v>
      </c>
      <c r="E11">
        <v>20290202</v>
      </c>
      <c r="F11">
        <v>110975</v>
      </c>
      <c r="G11" t="s">
        <v>91</v>
      </c>
      <c r="H11" t="s">
        <v>104</v>
      </c>
      <c r="I11" t="s">
        <v>264</v>
      </c>
      <c r="J11" t="s">
        <v>93</v>
      </c>
      <c r="K11" s="48">
        <v>20058558426</v>
      </c>
      <c r="L11" s="48">
        <v>0</v>
      </c>
      <c r="M11" s="48">
        <v>20083820000</v>
      </c>
      <c r="N11" s="48">
        <v>20000000000</v>
      </c>
      <c r="O11" s="48">
        <v>25261574</v>
      </c>
      <c r="P11" s="48">
        <v>0</v>
      </c>
      <c r="Q11" s="48">
        <v>0</v>
      </c>
      <c r="R11" s="48">
        <v>58558426</v>
      </c>
      <c r="S11" t="s">
        <v>94</v>
      </c>
      <c r="T11" t="s">
        <v>94</v>
      </c>
      <c r="U11">
        <v>4.0090000000000003</v>
      </c>
      <c r="X11" t="s">
        <v>95</v>
      </c>
      <c r="Y11" t="s">
        <v>96</v>
      </c>
      <c r="Z11" t="s">
        <v>97</v>
      </c>
      <c r="AA11" t="s">
        <v>98</v>
      </c>
      <c r="AB11" t="s">
        <v>99</v>
      </c>
      <c r="AC11" t="s">
        <v>100</v>
      </c>
      <c r="AD11">
        <v>1070</v>
      </c>
      <c r="AE11" s="48">
        <v>20025261574</v>
      </c>
      <c r="AF11">
        <v>3.134E-2</v>
      </c>
      <c r="AH11">
        <v>2.74051</v>
      </c>
    </row>
    <row r="12" spans="1:34" x14ac:dyDescent="0.3">
      <c r="A12" t="s">
        <v>183</v>
      </c>
      <c r="B12" s="49" t="s">
        <v>211</v>
      </c>
      <c r="C12" t="s">
        <v>90</v>
      </c>
      <c r="D12" s="5">
        <v>46051</v>
      </c>
      <c r="E12">
        <v>20280125</v>
      </c>
      <c r="F12">
        <v>110975</v>
      </c>
      <c r="G12" t="s">
        <v>91</v>
      </c>
      <c r="H12" t="s">
        <v>105</v>
      </c>
      <c r="I12" t="s">
        <v>265</v>
      </c>
      <c r="J12" t="s">
        <v>93</v>
      </c>
      <c r="K12" s="48">
        <v>10029158333</v>
      </c>
      <c r="L12" s="48">
        <v>0</v>
      </c>
      <c r="M12" s="48">
        <v>10022490000</v>
      </c>
      <c r="N12" s="48">
        <v>10000000000</v>
      </c>
      <c r="O12" s="48">
        <v>-6668333</v>
      </c>
      <c r="P12" s="48">
        <v>0</v>
      </c>
      <c r="Q12" s="48">
        <v>0</v>
      </c>
      <c r="R12" s="48">
        <v>29158333</v>
      </c>
      <c r="S12" t="s">
        <v>94</v>
      </c>
      <c r="T12" t="s">
        <v>94</v>
      </c>
      <c r="U12">
        <v>3.4990000000000001</v>
      </c>
      <c r="X12" t="s">
        <v>95</v>
      </c>
      <c r="Y12" t="s">
        <v>96</v>
      </c>
      <c r="Z12" t="s">
        <v>97</v>
      </c>
      <c r="AA12" t="s">
        <v>98</v>
      </c>
      <c r="AB12" t="s">
        <v>99</v>
      </c>
      <c r="AC12" t="s">
        <v>100</v>
      </c>
      <c r="AD12">
        <v>696</v>
      </c>
      <c r="AE12" s="48">
        <v>9993331667</v>
      </c>
      <c r="AF12">
        <v>1.5640000000000001E-2</v>
      </c>
      <c r="AH12">
        <v>1.8314600000000001</v>
      </c>
    </row>
    <row r="13" spans="1:34" x14ac:dyDescent="0.3">
      <c r="A13" t="s">
        <v>183</v>
      </c>
      <c r="B13" s="49" t="s">
        <v>211</v>
      </c>
      <c r="C13" t="s">
        <v>90</v>
      </c>
      <c r="D13" s="5">
        <v>46050</v>
      </c>
      <c r="E13">
        <v>20290126</v>
      </c>
      <c r="F13">
        <v>110975</v>
      </c>
      <c r="G13" t="s">
        <v>91</v>
      </c>
      <c r="H13" t="s">
        <v>106</v>
      </c>
      <c r="I13" t="s">
        <v>266</v>
      </c>
      <c r="J13" t="s">
        <v>93</v>
      </c>
      <c r="K13" s="48">
        <v>20058762222</v>
      </c>
      <c r="L13" s="48">
        <v>0</v>
      </c>
      <c r="M13" s="48">
        <v>20038620000</v>
      </c>
      <c r="N13" s="48">
        <v>20000000000</v>
      </c>
      <c r="O13" s="48">
        <v>-20142222</v>
      </c>
      <c r="P13" s="48">
        <v>0</v>
      </c>
      <c r="Q13" s="48">
        <v>0</v>
      </c>
      <c r="R13" s="48">
        <v>58762222</v>
      </c>
      <c r="S13" t="s">
        <v>94</v>
      </c>
      <c r="T13" t="s">
        <v>94</v>
      </c>
      <c r="U13">
        <v>3.4119999999999999</v>
      </c>
      <c r="X13" t="s">
        <v>95</v>
      </c>
      <c r="Y13" t="s">
        <v>96</v>
      </c>
      <c r="Z13" t="s">
        <v>97</v>
      </c>
      <c r="AA13" t="s">
        <v>98</v>
      </c>
      <c r="AB13" t="s">
        <v>99</v>
      </c>
      <c r="AC13" t="s">
        <v>100</v>
      </c>
      <c r="AD13">
        <v>1063</v>
      </c>
      <c r="AE13" s="48">
        <v>19979857778</v>
      </c>
      <c r="AF13">
        <v>3.1260000000000003E-2</v>
      </c>
      <c r="AH13">
        <v>2.7503099999999998</v>
      </c>
    </row>
    <row r="14" spans="1:34" x14ac:dyDescent="0.3">
      <c r="A14" t="s">
        <v>183</v>
      </c>
      <c r="B14" s="49" t="s">
        <v>211</v>
      </c>
      <c r="C14" t="s">
        <v>90</v>
      </c>
      <c r="D14" s="5">
        <v>46050</v>
      </c>
      <c r="E14">
        <v>20280125</v>
      </c>
      <c r="F14">
        <v>110975</v>
      </c>
      <c r="G14" t="s">
        <v>91</v>
      </c>
      <c r="H14" t="s">
        <v>107</v>
      </c>
      <c r="I14" t="s">
        <v>267</v>
      </c>
      <c r="J14" t="s">
        <v>93</v>
      </c>
      <c r="K14" s="48">
        <v>20062327222</v>
      </c>
      <c r="L14" s="48">
        <v>0</v>
      </c>
      <c r="M14" s="48">
        <v>20044040000</v>
      </c>
      <c r="N14" s="48">
        <v>20000000000</v>
      </c>
      <c r="O14" s="48">
        <v>-18287222</v>
      </c>
      <c r="P14" s="48">
        <v>0</v>
      </c>
      <c r="Q14" s="48">
        <v>0</v>
      </c>
      <c r="R14" s="48">
        <v>62327222</v>
      </c>
      <c r="S14" t="s">
        <v>94</v>
      </c>
      <c r="T14" t="s">
        <v>94</v>
      </c>
      <c r="U14">
        <v>3.6190000000000002</v>
      </c>
      <c r="X14" t="s">
        <v>95</v>
      </c>
      <c r="Y14" t="s">
        <v>96</v>
      </c>
      <c r="Z14" t="s">
        <v>97</v>
      </c>
      <c r="AA14" t="s">
        <v>98</v>
      </c>
      <c r="AB14" t="s">
        <v>99</v>
      </c>
      <c r="AC14" t="s">
        <v>100</v>
      </c>
      <c r="AD14">
        <v>696</v>
      </c>
      <c r="AE14" s="48">
        <v>19981712778</v>
      </c>
      <c r="AF14">
        <v>3.1269999999999999E-2</v>
      </c>
      <c r="AH14">
        <v>1.82866</v>
      </c>
    </row>
    <row r="15" spans="1:34" x14ac:dyDescent="0.3">
      <c r="A15" t="s">
        <v>184</v>
      </c>
      <c r="B15" s="49" t="s">
        <v>211</v>
      </c>
      <c r="C15" t="s">
        <v>90</v>
      </c>
      <c r="D15" s="5">
        <v>46038</v>
      </c>
      <c r="E15">
        <v>20290408</v>
      </c>
      <c r="F15">
        <v>110986</v>
      </c>
      <c r="G15" t="s">
        <v>108</v>
      </c>
      <c r="H15" t="s">
        <v>109</v>
      </c>
      <c r="I15" t="s">
        <v>241</v>
      </c>
      <c r="J15" t="s">
        <v>93</v>
      </c>
      <c r="K15" s="48">
        <v>10149469167</v>
      </c>
      <c r="L15" s="48">
        <v>0</v>
      </c>
      <c r="M15" s="48">
        <v>10132080000</v>
      </c>
      <c r="N15" s="48">
        <v>10096726667</v>
      </c>
      <c r="O15" s="48">
        <v>-17389167</v>
      </c>
      <c r="P15" s="48">
        <v>0</v>
      </c>
      <c r="Q15" s="48">
        <v>8273333</v>
      </c>
      <c r="R15" s="48">
        <v>44469167</v>
      </c>
      <c r="S15" t="s">
        <v>94</v>
      </c>
      <c r="T15" t="s">
        <v>94</v>
      </c>
      <c r="U15">
        <v>3.7229999999999999</v>
      </c>
      <c r="X15" t="s">
        <v>110</v>
      </c>
      <c r="Y15" t="s">
        <v>96</v>
      </c>
      <c r="Z15" t="s">
        <v>97</v>
      </c>
      <c r="AA15" t="s">
        <v>98</v>
      </c>
      <c r="AB15" t="s">
        <v>111</v>
      </c>
      <c r="AC15" t="s">
        <v>112</v>
      </c>
      <c r="AD15">
        <v>1135</v>
      </c>
      <c r="AE15" s="48">
        <v>10079337500</v>
      </c>
      <c r="AF15">
        <v>1.5769999999999999E-2</v>
      </c>
      <c r="AH15">
        <v>2.9092699999999998</v>
      </c>
    </row>
    <row r="16" spans="1:34" x14ac:dyDescent="0.3">
      <c r="A16" t="s">
        <v>184</v>
      </c>
      <c r="B16" s="49" t="s">
        <v>211</v>
      </c>
      <c r="C16" t="s">
        <v>90</v>
      </c>
      <c r="D16" s="5">
        <v>46031</v>
      </c>
      <c r="E16">
        <v>20280225</v>
      </c>
      <c r="F16">
        <v>110986</v>
      </c>
      <c r="G16" t="s">
        <v>108</v>
      </c>
      <c r="H16" t="s">
        <v>113</v>
      </c>
      <c r="I16" t="s">
        <v>242</v>
      </c>
      <c r="J16" t="s">
        <v>93</v>
      </c>
      <c r="K16" s="48">
        <v>9986777723</v>
      </c>
      <c r="L16" s="48">
        <v>0</v>
      </c>
      <c r="M16" s="48">
        <v>9959670000</v>
      </c>
      <c r="N16" s="48">
        <v>9985860870</v>
      </c>
      <c r="O16" s="48">
        <v>-27107723</v>
      </c>
      <c r="P16" s="48">
        <v>0</v>
      </c>
      <c r="Q16" s="48">
        <v>0</v>
      </c>
      <c r="R16" s="48">
        <v>916853</v>
      </c>
      <c r="S16" t="s">
        <v>94</v>
      </c>
      <c r="T16" t="s">
        <v>94</v>
      </c>
      <c r="U16">
        <v>3.2639999999999998</v>
      </c>
      <c r="X16" t="s">
        <v>110</v>
      </c>
      <c r="Y16" t="s">
        <v>96</v>
      </c>
      <c r="Z16" t="s">
        <v>97</v>
      </c>
      <c r="AA16" t="s">
        <v>98</v>
      </c>
      <c r="AB16" t="s">
        <v>111</v>
      </c>
      <c r="AC16" t="s">
        <v>112</v>
      </c>
      <c r="AD16">
        <v>727</v>
      </c>
      <c r="AE16" s="48">
        <v>9958753147</v>
      </c>
      <c r="AF16">
        <v>1.558E-2</v>
      </c>
      <c r="AH16">
        <v>1.9203600000000001</v>
      </c>
    </row>
    <row r="17" spans="1:34" x14ac:dyDescent="0.3">
      <c r="A17" t="s">
        <v>184</v>
      </c>
      <c r="B17" s="49" t="s">
        <v>211</v>
      </c>
      <c r="C17" t="s">
        <v>90</v>
      </c>
      <c r="D17" s="5">
        <v>46065</v>
      </c>
      <c r="E17">
        <v>20270910</v>
      </c>
      <c r="F17">
        <v>110986</v>
      </c>
      <c r="G17" t="s">
        <v>108</v>
      </c>
      <c r="H17" t="s">
        <v>114</v>
      </c>
      <c r="I17" t="s">
        <v>243</v>
      </c>
      <c r="J17" t="s">
        <v>93</v>
      </c>
      <c r="K17" s="48">
        <v>10098324445</v>
      </c>
      <c r="L17" s="48">
        <v>0</v>
      </c>
      <c r="M17" s="48">
        <v>10123910000</v>
      </c>
      <c r="N17" s="48">
        <v>10016702223</v>
      </c>
      <c r="O17" s="48">
        <v>25585555</v>
      </c>
      <c r="P17" s="48">
        <v>0</v>
      </c>
      <c r="Q17" s="48">
        <v>65297777</v>
      </c>
      <c r="R17" s="48">
        <v>16324445</v>
      </c>
      <c r="S17" t="s">
        <v>94</v>
      </c>
      <c r="T17" t="s">
        <v>94</v>
      </c>
      <c r="U17">
        <v>3.673</v>
      </c>
      <c r="X17" t="s">
        <v>110</v>
      </c>
      <c r="Y17" t="s">
        <v>96</v>
      </c>
      <c r="Z17" t="s">
        <v>97</v>
      </c>
      <c r="AA17" t="s">
        <v>98</v>
      </c>
      <c r="AB17" t="s">
        <v>111</v>
      </c>
      <c r="AC17" t="s">
        <v>112</v>
      </c>
      <c r="AD17">
        <v>559</v>
      </c>
      <c r="AE17" s="48">
        <v>10042287778</v>
      </c>
      <c r="AF17">
        <v>1.5709999999999998E-2</v>
      </c>
      <c r="AH17">
        <v>1.4674700000000001</v>
      </c>
    </row>
    <row r="18" spans="1:34" x14ac:dyDescent="0.3">
      <c r="A18" t="s">
        <v>184</v>
      </c>
      <c r="B18" s="49" t="s">
        <v>211</v>
      </c>
      <c r="C18" t="s">
        <v>90</v>
      </c>
      <c r="D18" s="5">
        <v>46017</v>
      </c>
      <c r="E18">
        <v>20280926</v>
      </c>
      <c r="F18">
        <v>110986</v>
      </c>
      <c r="G18" t="s">
        <v>108</v>
      </c>
      <c r="H18" t="s">
        <v>115</v>
      </c>
      <c r="I18" t="s">
        <v>244</v>
      </c>
      <c r="J18" t="s">
        <v>93</v>
      </c>
      <c r="K18" s="48">
        <v>10460226389</v>
      </c>
      <c r="L18" s="48">
        <v>0</v>
      </c>
      <c r="M18" s="48">
        <v>10396560000</v>
      </c>
      <c r="N18" s="48">
        <v>10375728612</v>
      </c>
      <c r="O18" s="48">
        <v>-63666389</v>
      </c>
      <c r="P18" s="48">
        <v>0</v>
      </c>
      <c r="Q18" s="48">
        <v>0</v>
      </c>
      <c r="R18" s="48">
        <v>84497777</v>
      </c>
      <c r="S18" t="s">
        <v>94</v>
      </c>
      <c r="T18" t="s">
        <v>94</v>
      </c>
      <c r="U18">
        <v>4.7530000000000001</v>
      </c>
      <c r="X18" t="s">
        <v>110</v>
      </c>
      <c r="Y18" t="s">
        <v>96</v>
      </c>
      <c r="Z18" t="s">
        <v>97</v>
      </c>
      <c r="AA18" t="s">
        <v>98</v>
      </c>
      <c r="AB18" t="s">
        <v>111</v>
      </c>
      <c r="AC18" t="s">
        <v>112</v>
      </c>
      <c r="AD18">
        <v>941</v>
      </c>
      <c r="AE18" s="48">
        <v>10312062223</v>
      </c>
      <c r="AF18">
        <v>1.6129999999999999E-2</v>
      </c>
      <c r="AH18">
        <v>2.3976299999999999</v>
      </c>
    </row>
    <row r="19" spans="1:34" x14ac:dyDescent="0.3">
      <c r="A19" t="s">
        <v>184</v>
      </c>
      <c r="B19" s="49" t="s">
        <v>211</v>
      </c>
      <c r="C19" t="s">
        <v>90</v>
      </c>
      <c r="D19" s="5">
        <v>46045</v>
      </c>
      <c r="E19">
        <v>20280801</v>
      </c>
      <c r="F19">
        <v>110986</v>
      </c>
      <c r="G19" t="s">
        <v>108</v>
      </c>
      <c r="H19" t="s">
        <v>116</v>
      </c>
      <c r="I19" t="s">
        <v>245</v>
      </c>
      <c r="J19" t="s">
        <v>93</v>
      </c>
      <c r="K19" s="48">
        <v>9878215516</v>
      </c>
      <c r="L19" s="48">
        <v>0</v>
      </c>
      <c r="M19" s="48">
        <v>9885450000</v>
      </c>
      <c r="N19" s="48">
        <v>9856539674</v>
      </c>
      <c r="O19" s="48">
        <v>7234484</v>
      </c>
      <c r="P19" s="48">
        <v>0</v>
      </c>
      <c r="Q19" s="48">
        <v>0</v>
      </c>
      <c r="R19" s="48">
        <v>21675842</v>
      </c>
      <c r="S19" t="s">
        <v>94</v>
      </c>
      <c r="T19" t="s">
        <v>94</v>
      </c>
      <c r="U19">
        <v>2.8580000000000001</v>
      </c>
      <c r="X19" t="s">
        <v>110</v>
      </c>
      <c r="Y19" t="s">
        <v>96</v>
      </c>
      <c r="Z19" t="s">
        <v>97</v>
      </c>
      <c r="AA19" t="s">
        <v>98</v>
      </c>
      <c r="AB19" t="s">
        <v>111</v>
      </c>
      <c r="AC19" t="s">
        <v>112</v>
      </c>
      <c r="AD19">
        <v>885</v>
      </c>
      <c r="AE19" s="48">
        <v>9863774158</v>
      </c>
      <c r="AF19">
        <v>1.5429999999999999E-2</v>
      </c>
      <c r="AH19">
        <v>2.32416</v>
      </c>
    </row>
    <row r="20" spans="1:34" x14ac:dyDescent="0.3">
      <c r="A20" t="s">
        <v>184</v>
      </c>
      <c r="B20" s="49" t="s">
        <v>211</v>
      </c>
      <c r="C20" t="s">
        <v>90</v>
      </c>
      <c r="D20" s="5">
        <v>46048</v>
      </c>
      <c r="E20">
        <v>20281027</v>
      </c>
      <c r="F20">
        <v>110986</v>
      </c>
      <c r="G20" t="s">
        <v>108</v>
      </c>
      <c r="H20" t="s">
        <v>117</v>
      </c>
      <c r="I20" t="s">
        <v>246</v>
      </c>
      <c r="J20" t="s">
        <v>93</v>
      </c>
      <c r="K20" s="48">
        <v>9865444294</v>
      </c>
      <c r="L20" s="48">
        <v>0</v>
      </c>
      <c r="M20" s="48">
        <v>9881190000</v>
      </c>
      <c r="N20" s="48">
        <v>9840969294</v>
      </c>
      <c r="O20" s="48">
        <v>15745706</v>
      </c>
      <c r="P20" s="48">
        <v>0</v>
      </c>
      <c r="Q20" s="48">
        <v>0</v>
      </c>
      <c r="R20" s="48">
        <v>24475000</v>
      </c>
      <c r="S20" t="s">
        <v>94</v>
      </c>
      <c r="T20" t="s">
        <v>94</v>
      </c>
      <c r="U20">
        <v>2.9369999999999998</v>
      </c>
      <c r="X20" t="s">
        <v>110</v>
      </c>
      <c r="Y20" t="s">
        <v>96</v>
      </c>
      <c r="Z20" t="s">
        <v>97</v>
      </c>
      <c r="AA20" t="s">
        <v>98</v>
      </c>
      <c r="AB20" t="s">
        <v>111</v>
      </c>
      <c r="AC20" t="s">
        <v>112</v>
      </c>
      <c r="AD20">
        <v>972</v>
      </c>
      <c r="AE20" s="48">
        <v>9856715000</v>
      </c>
      <c r="AF20">
        <v>1.542E-2</v>
      </c>
      <c r="AH20">
        <v>2.54129</v>
      </c>
    </row>
    <row r="21" spans="1:34" x14ac:dyDescent="0.3">
      <c r="A21" t="s">
        <v>184</v>
      </c>
      <c r="B21" s="49" t="s">
        <v>211</v>
      </c>
      <c r="C21" t="s">
        <v>90</v>
      </c>
      <c r="D21" s="5">
        <v>46015</v>
      </c>
      <c r="E21">
        <v>20270219</v>
      </c>
      <c r="F21">
        <v>110986</v>
      </c>
      <c r="G21" t="s">
        <v>108</v>
      </c>
      <c r="H21" t="s">
        <v>118</v>
      </c>
      <c r="I21" t="s">
        <v>247</v>
      </c>
      <c r="J21" t="s">
        <v>93</v>
      </c>
      <c r="K21" s="48">
        <v>10009596099</v>
      </c>
      <c r="L21" s="48">
        <v>0</v>
      </c>
      <c r="M21" s="48">
        <v>10003350000</v>
      </c>
      <c r="N21" s="48">
        <v>10002987392</v>
      </c>
      <c r="O21" s="48">
        <v>-6246099</v>
      </c>
      <c r="P21" s="48">
        <v>0</v>
      </c>
      <c r="Q21" s="48">
        <v>0</v>
      </c>
      <c r="R21" s="48">
        <v>6608707</v>
      </c>
      <c r="S21" t="s">
        <v>94</v>
      </c>
      <c r="T21" t="s">
        <v>94</v>
      </c>
      <c r="U21">
        <v>3.3610000000000002</v>
      </c>
      <c r="X21" t="s">
        <v>110</v>
      </c>
      <c r="Y21" t="s">
        <v>96</v>
      </c>
      <c r="Z21" t="s">
        <v>97</v>
      </c>
      <c r="AA21" t="s">
        <v>98</v>
      </c>
      <c r="AB21" t="s">
        <v>111</v>
      </c>
      <c r="AC21" t="s">
        <v>112</v>
      </c>
      <c r="AD21">
        <v>356</v>
      </c>
      <c r="AE21" s="48">
        <v>9996741293</v>
      </c>
      <c r="AF21">
        <v>1.5640000000000001E-2</v>
      </c>
      <c r="AH21">
        <v>0.95547000000000004</v>
      </c>
    </row>
    <row r="22" spans="1:34" x14ac:dyDescent="0.3">
      <c r="A22" t="s">
        <v>184</v>
      </c>
      <c r="B22" s="49" t="s">
        <v>211</v>
      </c>
      <c r="C22" t="s">
        <v>90</v>
      </c>
      <c r="D22" s="5">
        <v>46045</v>
      </c>
      <c r="E22">
        <v>20281028</v>
      </c>
      <c r="F22">
        <v>110986</v>
      </c>
      <c r="G22" t="s">
        <v>108</v>
      </c>
      <c r="H22" t="s">
        <v>119</v>
      </c>
      <c r="I22" t="s">
        <v>248</v>
      </c>
      <c r="J22" t="s">
        <v>93</v>
      </c>
      <c r="K22" s="48">
        <v>9887577772</v>
      </c>
      <c r="L22" s="48">
        <v>0</v>
      </c>
      <c r="M22" s="48">
        <v>9903250000</v>
      </c>
      <c r="N22" s="48">
        <v>9862700272</v>
      </c>
      <c r="O22" s="48">
        <v>15672228</v>
      </c>
      <c r="P22" s="48">
        <v>0</v>
      </c>
      <c r="Q22" s="48">
        <v>0</v>
      </c>
      <c r="R22" s="48">
        <v>24877500</v>
      </c>
      <c r="S22" t="s">
        <v>94</v>
      </c>
      <c r="T22" t="s">
        <v>94</v>
      </c>
      <c r="U22">
        <v>2.8889999999999998</v>
      </c>
      <c r="X22" t="s">
        <v>110</v>
      </c>
      <c r="Y22" t="s">
        <v>96</v>
      </c>
      <c r="Z22" t="s">
        <v>97</v>
      </c>
      <c r="AA22" t="s">
        <v>98</v>
      </c>
      <c r="AB22" t="s">
        <v>111</v>
      </c>
      <c r="AC22" t="s">
        <v>112</v>
      </c>
      <c r="AD22">
        <v>973</v>
      </c>
      <c r="AE22" s="48">
        <v>9878372500</v>
      </c>
      <c r="AF22">
        <v>1.546E-2</v>
      </c>
      <c r="AH22">
        <v>2.5442399999999998</v>
      </c>
    </row>
    <row r="23" spans="1:34" x14ac:dyDescent="0.3">
      <c r="A23" t="s">
        <v>184</v>
      </c>
      <c r="B23" s="49" t="s">
        <v>211</v>
      </c>
      <c r="C23" t="s">
        <v>90</v>
      </c>
      <c r="D23" s="5">
        <v>46048</v>
      </c>
      <c r="E23">
        <v>20281028</v>
      </c>
      <c r="F23">
        <v>110986</v>
      </c>
      <c r="G23" t="s">
        <v>108</v>
      </c>
      <c r="H23" t="s">
        <v>120</v>
      </c>
      <c r="I23" t="s">
        <v>249</v>
      </c>
      <c r="J23" t="s">
        <v>93</v>
      </c>
      <c r="K23" s="48">
        <v>19768445218</v>
      </c>
      <c r="L23" s="48">
        <v>0</v>
      </c>
      <c r="M23" s="48">
        <v>19806500000</v>
      </c>
      <c r="N23" s="48">
        <v>19718690218</v>
      </c>
      <c r="O23" s="48">
        <v>38054782</v>
      </c>
      <c r="P23" s="48">
        <v>0</v>
      </c>
      <c r="Q23" s="48">
        <v>0</v>
      </c>
      <c r="R23" s="48">
        <v>49755000</v>
      </c>
      <c r="S23" t="s">
        <v>94</v>
      </c>
      <c r="T23" t="s">
        <v>94</v>
      </c>
      <c r="U23">
        <v>2.8889999999999998</v>
      </c>
      <c r="X23" t="s">
        <v>110</v>
      </c>
      <c r="Y23" t="s">
        <v>96</v>
      </c>
      <c r="Z23" t="s">
        <v>97</v>
      </c>
      <c r="AA23" t="s">
        <v>98</v>
      </c>
      <c r="AB23" t="s">
        <v>111</v>
      </c>
      <c r="AC23" t="s">
        <v>112</v>
      </c>
      <c r="AD23">
        <v>973</v>
      </c>
      <c r="AE23" s="48">
        <v>19756745000</v>
      </c>
      <c r="AF23">
        <v>3.092E-2</v>
      </c>
      <c r="AH23">
        <v>2.5442399999999998</v>
      </c>
    </row>
    <row r="24" spans="1:34" x14ac:dyDescent="0.3">
      <c r="A24" t="s">
        <v>184</v>
      </c>
      <c r="B24" s="49" t="s">
        <v>211</v>
      </c>
      <c r="C24" t="s">
        <v>90</v>
      </c>
      <c r="D24" s="5">
        <v>46045</v>
      </c>
      <c r="E24">
        <v>20280121</v>
      </c>
      <c r="F24">
        <v>110986</v>
      </c>
      <c r="G24" t="s">
        <v>108</v>
      </c>
      <c r="H24" t="s">
        <v>121</v>
      </c>
      <c r="I24" t="s">
        <v>250</v>
      </c>
      <c r="J24" t="s">
        <v>93</v>
      </c>
      <c r="K24" s="48">
        <v>9977600000</v>
      </c>
      <c r="L24" s="48">
        <v>0</v>
      </c>
      <c r="M24" s="48">
        <v>9972270000</v>
      </c>
      <c r="N24" s="48">
        <v>9945636112</v>
      </c>
      <c r="O24" s="48">
        <v>-5330000</v>
      </c>
      <c r="P24" s="48">
        <v>0</v>
      </c>
      <c r="Q24" s="48">
        <v>863888</v>
      </c>
      <c r="R24" s="48">
        <v>31100000</v>
      </c>
      <c r="S24" t="s">
        <v>94</v>
      </c>
      <c r="T24" t="s">
        <v>94</v>
      </c>
      <c r="U24">
        <v>3.11</v>
      </c>
      <c r="X24" t="s">
        <v>110</v>
      </c>
      <c r="Y24" t="s">
        <v>96</v>
      </c>
      <c r="Z24" t="s">
        <v>97</v>
      </c>
      <c r="AA24" t="s">
        <v>98</v>
      </c>
      <c r="AB24" t="s">
        <v>111</v>
      </c>
      <c r="AC24" t="s">
        <v>112</v>
      </c>
      <c r="AD24">
        <v>692</v>
      </c>
      <c r="AE24" s="48">
        <v>9940306112</v>
      </c>
      <c r="AF24">
        <v>1.555E-2</v>
      </c>
      <c r="AH24">
        <v>1.82653</v>
      </c>
    </row>
    <row r="25" spans="1:34" x14ac:dyDescent="0.3">
      <c r="A25" t="s">
        <v>184</v>
      </c>
      <c r="B25" s="49" t="s">
        <v>211</v>
      </c>
      <c r="C25" t="s">
        <v>90</v>
      </c>
      <c r="D25" s="5">
        <v>46056</v>
      </c>
      <c r="E25">
        <v>20290129</v>
      </c>
      <c r="F25">
        <v>110986</v>
      </c>
      <c r="G25" t="s">
        <v>108</v>
      </c>
      <c r="H25" t="s">
        <v>122</v>
      </c>
      <c r="I25" t="s">
        <v>251</v>
      </c>
      <c r="J25" t="s">
        <v>93</v>
      </c>
      <c r="K25" s="48">
        <v>9969923611</v>
      </c>
      <c r="L25" s="48">
        <v>0</v>
      </c>
      <c r="M25" s="48">
        <v>10023050000</v>
      </c>
      <c r="N25" s="48">
        <v>9941215278</v>
      </c>
      <c r="O25" s="48">
        <v>53126389</v>
      </c>
      <c r="P25" s="48">
        <v>0</v>
      </c>
      <c r="Q25" s="48">
        <v>4784722</v>
      </c>
      <c r="R25" s="48">
        <v>23923611</v>
      </c>
      <c r="S25" t="s">
        <v>94</v>
      </c>
      <c r="T25" t="s">
        <v>94</v>
      </c>
      <c r="U25">
        <v>3.4449999999999998</v>
      </c>
      <c r="X25" t="s">
        <v>110</v>
      </c>
      <c r="Y25" t="s">
        <v>96</v>
      </c>
      <c r="Z25" t="s">
        <v>97</v>
      </c>
      <c r="AA25" t="s">
        <v>98</v>
      </c>
      <c r="AB25" t="s">
        <v>111</v>
      </c>
      <c r="AC25" t="s">
        <v>112</v>
      </c>
      <c r="AD25">
        <v>1066</v>
      </c>
      <c r="AE25" s="48">
        <v>9994341667</v>
      </c>
      <c r="AF25">
        <v>1.5640000000000001E-2</v>
      </c>
      <c r="AH25">
        <v>2.7547999999999999</v>
      </c>
    </row>
    <row r="26" spans="1:34" x14ac:dyDescent="0.3">
      <c r="A26" t="s">
        <v>184</v>
      </c>
      <c r="B26" s="49" t="s">
        <v>211</v>
      </c>
      <c r="C26" t="s">
        <v>90</v>
      </c>
      <c r="D26" s="5">
        <v>46041</v>
      </c>
      <c r="E26">
        <v>20281128</v>
      </c>
      <c r="F26">
        <v>110986</v>
      </c>
      <c r="G26" t="s">
        <v>108</v>
      </c>
      <c r="H26" t="s">
        <v>123</v>
      </c>
      <c r="I26" t="s">
        <v>252</v>
      </c>
      <c r="J26" t="s">
        <v>93</v>
      </c>
      <c r="K26" s="48">
        <v>10075945653</v>
      </c>
      <c r="L26" s="48">
        <v>0</v>
      </c>
      <c r="M26" s="48">
        <v>10073040000</v>
      </c>
      <c r="N26" s="48">
        <v>9990970653</v>
      </c>
      <c r="O26" s="48">
        <v>-2905653</v>
      </c>
      <c r="P26" s="48">
        <v>0</v>
      </c>
      <c r="Q26" s="48">
        <v>48029347</v>
      </c>
      <c r="R26" s="48">
        <v>36945653</v>
      </c>
      <c r="S26" t="s">
        <v>94</v>
      </c>
      <c r="T26" t="s">
        <v>94</v>
      </c>
      <c r="U26">
        <v>3.399</v>
      </c>
      <c r="X26" t="s">
        <v>110</v>
      </c>
      <c r="Y26" t="s">
        <v>96</v>
      </c>
      <c r="Z26" t="s">
        <v>97</v>
      </c>
      <c r="AA26" t="s">
        <v>98</v>
      </c>
      <c r="AB26" t="s">
        <v>111</v>
      </c>
      <c r="AC26" t="s">
        <v>112</v>
      </c>
      <c r="AD26">
        <v>1004</v>
      </c>
      <c r="AE26" s="48">
        <v>9988065000</v>
      </c>
      <c r="AF26">
        <v>1.5630000000000002E-2</v>
      </c>
      <c r="AH26">
        <v>2.59138</v>
      </c>
    </row>
    <row r="27" spans="1:34" x14ac:dyDescent="0.3">
      <c r="A27" t="s">
        <v>184</v>
      </c>
      <c r="B27" s="49" t="s">
        <v>211</v>
      </c>
      <c r="C27" t="s">
        <v>90</v>
      </c>
      <c r="D27" s="5">
        <v>46043</v>
      </c>
      <c r="E27">
        <v>20281124</v>
      </c>
      <c r="F27">
        <v>110986</v>
      </c>
      <c r="G27" t="s">
        <v>108</v>
      </c>
      <c r="H27" t="s">
        <v>124</v>
      </c>
      <c r="I27" t="s">
        <v>253</v>
      </c>
      <c r="J27" t="s">
        <v>93</v>
      </c>
      <c r="K27" s="48">
        <v>9969123595</v>
      </c>
      <c r="L27" s="48">
        <v>0</v>
      </c>
      <c r="M27" s="48">
        <v>9961340000</v>
      </c>
      <c r="N27" s="48">
        <v>9967250000</v>
      </c>
      <c r="O27" s="48">
        <v>-7783595</v>
      </c>
      <c r="P27" s="48">
        <v>0</v>
      </c>
      <c r="Q27" s="48">
        <v>0</v>
      </c>
      <c r="R27" s="48">
        <v>1873595</v>
      </c>
      <c r="S27" t="s">
        <v>94</v>
      </c>
      <c r="T27" t="s">
        <v>94</v>
      </c>
      <c r="U27">
        <v>3.335</v>
      </c>
      <c r="X27" t="s">
        <v>110</v>
      </c>
      <c r="Y27" t="s">
        <v>96</v>
      </c>
      <c r="Z27" t="s">
        <v>97</v>
      </c>
      <c r="AA27" t="s">
        <v>98</v>
      </c>
      <c r="AB27" t="s">
        <v>111</v>
      </c>
      <c r="AC27" t="s">
        <v>112</v>
      </c>
      <c r="AD27">
        <v>1000</v>
      </c>
      <c r="AE27" s="48">
        <v>9959466405</v>
      </c>
      <c r="AF27">
        <v>1.558E-2</v>
      </c>
      <c r="AH27">
        <v>2.6063000000000001</v>
      </c>
    </row>
    <row r="28" spans="1:34" x14ac:dyDescent="0.3">
      <c r="A28" t="s">
        <v>184</v>
      </c>
      <c r="B28" s="49" t="s">
        <v>211</v>
      </c>
      <c r="C28" t="s">
        <v>90</v>
      </c>
      <c r="D28" s="5">
        <v>46042</v>
      </c>
      <c r="E28">
        <v>20281124</v>
      </c>
      <c r="F28">
        <v>110986</v>
      </c>
      <c r="G28" t="s">
        <v>108</v>
      </c>
      <c r="H28" t="s">
        <v>125</v>
      </c>
      <c r="I28" t="s">
        <v>254</v>
      </c>
      <c r="J28" t="s">
        <v>93</v>
      </c>
      <c r="K28" s="48">
        <v>9974859148</v>
      </c>
      <c r="L28" s="48">
        <v>0</v>
      </c>
      <c r="M28" s="48">
        <v>9951840000</v>
      </c>
      <c r="N28" s="48">
        <v>9972036957</v>
      </c>
      <c r="O28" s="48">
        <v>-23019148</v>
      </c>
      <c r="P28" s="48">
        <v>0</v>
      </c>
      <c r="Q28" s="48">
        <v>0</v>
      </c>
      <c r="R28" s="48">
        <v>2822191</v>
      </c>
      <c r="S28" t="s">
        <v>94</v>
      </c>
      <c r="T28" t="s">
        <v>94</v>
      </c>
      <c r="U28">
        <v>3.3490000000000002</v>
      </c>
      <c r="X28" t="s">
        <v>110</v>
      </c>
      <c r="Y28" t="s">
        <v>96</v>
      </c>
      <c r="Z28" t="s">
        <v>97</v>
      </c>
      <c r="AA28" t="s">
        <v>98</v>
      </c>
      <c r="AB28" t="s">
        <v>111</v>
      </c>
      <c r="AC28" t="s">
        <v>112</v>
      </c>
      <c r="AD28">
        <v>1000</v>
      </c>
      <c r="AE28" s="48">
        <v>9949017809</v>
      </c>
      <c r="AF28">
        <v>1.5570000000000001E-2</v>
      </c>
      <c r="AH28">
        <v>2.6051299999999999</v>
      </c>
    </row>
    <row r="29" spans="1:34" x14ac:dyDescent="0.3">
      <c r="A29" t="s">
        <v>184</v>
      </c>
      <c r="B29" s="49" t="s">
        <v>211</v>
      </c>
      <c r="C29" t="s">
        <v>90</v>
      </c>
      <c r="D29" s="5">
        <v>46048</v>
      </c>
      <c r="E29">
        <v>20280705</v>
      </c>
      <c r="F29">
        <v>110986</v>
      </c>
      <c r="G29" t="s">
        <v>108</v>
      </c>
      <c r="H29" t="s">
        <v>126</v>
      </c>
      <c r="I29" t="s">
        <v>255</v>
      </c>
      <c r="J29" t="s">
        <v>93</v>
      </c>
      <c r="K29" s="48">
        <v>10334056667</v>
      </c>
      <c r="L29" s="48">
        <v>0</v>
      </c>
      <c r="M29" s="48">
        <v>10322750000</v>
      </c>
      <c r="N29" s="48">
        <v>10265236667</v>
      </c>
      <c r="O29" s="48">
        <v>-11306667</v>
      </c>
      <c r="P29" s="48">
        <v>0</v>
      </c>
      <c r="Q29" s="48">
        <v>26763333</v>
      </c>
      <c r="R29" s="48">
        <v>42056667</v>
      </c>
      <c r="S29" t="s">
        <v>94</v>
      </c>
      <c r="T29" t="s">
        <v>94</v>
      </c>
      <c r="U29">
        <v>4.5880000000000001</v>
      </c>
      <c r="X29" t="s">
        <v>110</v>
      </c>
      <c r="Y29" t="s">
        <v>96</v>
      </c>
      <c r="Z29" t="s">
        <v>97</v>
      </c>
      <c r="AA29" t="s">
        <v>98</v>
      </c>
      <c r="AB29" t="s">
        <v>111</v>
      </c>
      <c r="AC29" t="s">
        <v>112</v>
      </c>
      <c r="AD29">
        <v>858</v>
      </c>
      <c r="AE29" s="48">
        <v>10253930000</v>
      </c>
      <c r="AF29">
        <v>1.6039999999999999E-2</v>
      </c>
      <c r="AH29">
        <v>2.2081499999999998</v>
      </c>
    </row>
    <row r="30" spans="1:34" x14ac:dyDescent="0.3">
      <c r="A30" t="s">
        <v>184</v>
      </c>
      <c r="B30" s="49" t="s">
        <v>211</v>
      </c>
      <c r="C30" t="s">
        <v>90</v>
      </c>
      <c r="D30" s="5">
        <v>46042</v>
      </c>
      <c r="E30">
        <v>20271022</v>
      </c>
      <c r="F30">
        <v>110986</v>
      </c>
      <c r="G30" t="s">
        <v>108</v>
      </c>
      <c r="H30" t="s">
        <v>127</v>
      </c>
      <c r="I30" t="s">
        <v>256</v>
      </c>
      <c r="J30" t="s">
        <v>93</v>
      </c>
      <c r="K30" s="48">
        <v>10090062392</v>
      </c>
      <c r="L30" s="48">
        <v>0</v>
      </c>
      <c r="M30" s="48">
        <v>10069740000</v>
      </c>
      <c r="N30" s="48">
        <v>10052742392</v>
      </c>
      <c r="O30" s="48">
        <v>-20322392</v>
      </c>
      <c r="P30" s="48">
        <v>0</v>
      </c>
      <c r="Q30" s="48">
        <v>0</v>
      </c>
      <c r="R30" s="48">
        <v>37320000</v>
      </c>
      <c r="S30" t="s">
        <v>94</v>
      </c>
      <c r="T30" t="s">
        <v>94</v>
      </c>
      <c r="U30">
        <v>3.7320000000000002</v>
      </c>
      <c r="X30" t="s">
        <v>110</v>
      </c>
      <c r="Y30" t="s">
        <v>96</v>
      </c>
      <c r="Z30" t="s">
        <v>97</v>
      </c>
      <c r="AA30" t="s">
        <v>98</v>
      </c>
      <c r="AB30" t="s">
        <v>111</v>
      </c>
      <c r="AC30" t="s">
        <v>112</v>
      </c>
      <c r="AD30">
        <v>601</v>
      </c>
      <c r="AE30" s="48">
        <v>10032420000</v>
      </c>
      <c r="AF30">
        <v>1.5699999999999999E-2</v>
      </c>
      <c r="AH30">
        <v>1.5866899999999999</v>
      </c>
    </row>
    <row r="31" spans="1:34" x14ac:dyDescent="0.3">
      <c r="A31" t="s">
        <v>184</v>
      </c>
      <c r="B31" s="49" t="s">
        <v>211</v>
      </c>
      <c r="C31" t="s">
        <v>90</v>
      </c>
      <c r="D31" s="5">
        <v>46050</v>
      </c>
      <c r="E31">
        <v>20280602</v>
      </c>
      <c r="F31">
        <v>110986</v>
      </c>
      <c r="G31" t="s">
        <v>108</v>
      </c>
      <c r="H31" t="s">
        <v>128</v>
      </c>
      <c r="I31" t="s">
        <v>257</v>
      </c>
      <c r="J31" t="s">
        <v>93</v>
      </c>
      <c r="K31" s="48">
        <v>9937160556</v>
      </c>
      <c r="L31" s="48">
        <v>0</v>
      </c>
      <c r="M31" s="48">
        <v>9933340000</v>
      </c>
      <c r="N31" s="48">
        <v>9862898334</v>
      </c>
      <c r="O31" s="48">
        <v>-3820556</v>
      </c>
      <c r="P31" s="48">
        <v>0</v>
      </c>
      <c r="Q31" s="48">
        <v>48101666</v>
      </c>
      <c r="R31" s="48">
        <v>26160556</v>
      </c>
      <c r="S31" t="s">
        <v>94</v>
      </c>
      <c r="T31" t="s">
        <v>94</v>
      </c>
      <c r="U31">
        <v>3.0379999999999998</v>
      </c>
      <c r="X31" t="s">
        <v>110</v>
      </c>
      <c r="Y31" t="s">
        <v>96</v>
      </c>
      <c r="Z31" t="s">
        <v>97</v>
      </c>
      <c r="AA31" t="s">
        <v>98</v>
      </c>
      <c r="AB31" t="s">
        <v>111</v>
      </c>
      <c r="AC31" t="s">
        <v>112</v>
      </c>
      <c r="AD31">
        <v>825</v>
      </c>
      <c r="AE31" s="48">
        <v>9859077778</v>
      </c>
      <c r="AF31">
        <v>1.5429999999999999E-2</v>
      </c>
      <c r="AH31">
        <v>2.1507700000000001</v>
      </c>
    </row>
    <row r="32" spans="1:34" x14ac:dyDescent="0.3">
      <c r="A32" t="s">
        <v>184</v>
      </c>
      <c r="B32" s="49" t="s">
        <v>211</v>
      </c>
      <c r="C32" t="s">
        <v>90</v>
      </c>
      <c r="D32" s="5">
        <v>46038</v>
      </c>
      <c r="E32">
        <v>20280704</v>
      </c>
      <c r="F32">
        <v>110986</v>
      </c>
      <c r="G32" t="s">
        <v>108</v>
      </c>
      <c r="H32" t="s">
        <v>129</v>
      </c>
      <c r="I32" t="s">
        <v>258</v>
      </c>
      <c r="J32" t="s">
        <v>93</v>
      </c>
      <c r="K32" s="48">
        <v>9960503611</v>
      </c>
      <c r="L32" s="48">
        <v>0</v>
      </c>
      <c r="M32" s="48">
        <v>9919830000</v>
      </c>
      <c r="N32" s="48">
        <v>9908696667</v>
      </c>
      <c r="O32" s="48">
        <v>-40673611</v>
      </c>
      <c r="P32" s="48">
        <v>0</v>
      </c>
      <c r="Q32" s="48">
        <v>11303333</v>
      </c>
      <c r="R32" s="48">
        <v>40503611</v>
      </c>
      <c r="S32" t="s">
        <v>94</v>
      </c>
      <c r="T32" t="s">
        <v>94</v>
      </c>
      <c r="U32">
        <v>3.391</v>
      </c>
      <c r="X32" t="s">
        <v>110</v>
      </c>
      <c r="Y32" t="s">
        <v>96</v>
      </c>
      <c r="Z32" t="s">
        <v>97</v>
      </c>
      <c r="AA32" t="s">
        <v>98</v>
      </c>
      <c r="AB32" t="s">
        <v>111</v>
      </c>
      <c r="AC32" t="s">
        <v>112</v>
      </c>
      <c r="AD32">
        <v>857</v>
      </c>
      <c r="AE32" s="48">
        <v>9868023056</v>
      </c>
      <c r="AF32">
        <v>1.5440000000000001E-2</v>
      </c>
      <c r="AH32">
        <v>2.2307299999999999</v>
      </c>
    </row>
    <row r="33" spans="1:34" x14ac:dyDescent="0.3">
      <c r="A33" t="s">
        <v>184</v>
      </c>
      <c r="B33" s="49" t="s">
        <v>211</v>
      </c>
      <c r="C33" t="s">
        <v>90</v>
      </c>
      <c r="D33" s="5">
        <v>46035</v>
      </c>
      <c r="E33">
        <v>20280214</v>
      </c>
      <c r="F33">
        <v>110986</v>
      </c>
      <c r="G33" t="s">
        <v>108</v>
      </c>
      <c r="H33" t="s">
        <v>130</v>
      </c>
      <c r="I33" t="s">
        <v>259</v>
      </c>
      <c r="J33" t="s">
        <v>93</v>
      </c>
      <c r="K33" s="48">
        <v>10008063948</v>
      </c>
      <c r="L33" s="48">
        <v>0</v>
      </c>
      <c r="M33" s="48">
        <v>9986510000</v>
      </c>
      <c r="N33" s="48">
        <v>9995369566</v>
      </c>
      <c r="O33" s="48">
        <v>-21553948</v>
      </c>
      <c r="P33" s="48">
        <v>0</v>
      </c>
      <c r="Q33" s="48">
        <v>0</v>
      </c>
      <c r="R33" s="48">
        <v>12694382</v>
      </c>
      <c r="S33" t="s">
        <v>94</v>
      </c>
      <c r="T33" t="s">
        <v>94</v>
      </c>
      <c r="U33">
        <v>3.2280000000000002</v>
      </c>
      <c r="X33" t="s">
        <v>110</v>
      </c>
      <c r="Y33" t="s">
        <v>96</v>
      </c>
      <c r="Z33" t="s">
        <v>97</v>
      </c>
      <c r="AA33" t="s">
        <v>98</v>
      </c>
      <c r="AB33" t="s">
        <v>111</v>
      </c>
      <c r="AC33" t="s">
        <v>112</v>
      </c>
      <c r="AD33">
        <v>716</v>
      </c>
      <c r="AE33" s="48">
        <v>9973815618</v>
      </c>
      <c r="AF33">
        <v>1.5599999999999999E-2</v>
      </c>
      <c r="AH33">
        <v>1.88855</v>
      </c>
    </row>
    <row r="34" spans="1:34" x14ac:dyDescent="0.3">
      <c r="A34" t="s">
        <v>184</v>
      </c>
      <c r="B34" s="49" t="s">
        <v>211</v>
      </c>
      <c r="C34" t="s">
        <v>90</v>
      </c>
      <c r="D34" s="5">
        <v>46065</v>
      </c>
      <c r="E34">
        <v>20280214</v>
      </c>
      <c r="F34">
        <v>110986</v>
      </c>
      <c r="G34" t="s">
        <v>108</v>
      </c>
      <c r="H34" t="s">
        <v>131</v>
      </c>
      <c r="I34" t="s">
        <v>260</v>
      </c>
      <c r="J34" t="s">
        <v>93</v>
      </c>
      <c r="K34" s="48">
        <v>9947748730</v>
      </c>
      <c r="L34" s="48">
        <v>0</v>
      </c>
      <c r="M34" s="48">
        <v>9986510000</v>
      </c>
      <c r="N34" s="48">
        <v>9935054348</v>
      </c>
      <c r="O34" s="48">
        <v>38761270</v>
      </c>
      <c r="P34" s="48">
        <v>0</v>
      </c>
      <c r="Q34" s="48">
        <v>0</v>
      </c>
      <c r="R34" s="48">
        <v>12694382</v>
      </c>
      <c r="S34" t="s">
        <v>94</v>
      </c>
      <c r="T34" t="s">
        <v>94</v>
      </c>
      <c r="U34">
        <v>3.2280000000000002</v>
      </c>
      <c r="X34" t="s">
        <v>110</v>
      </c>
      <c r="Y34" t="s">
        <v>96</v>
      </c>
      <c r="Z34" t="s">
        <v>97</v>
      </c>
      <c r="AA34" t="s">
        <v>98</v>
      </c>
      <c r="AB34" t="s">
        <v>111</v>
      </c>
      <c r="AC34" t="s">
        <v>112</v>
      </c>
      <c r="AD34">
        <v>716</v>
      </c>
      <c r="AE34" s="48">
        <v>9973815618</v>
      </c>
      <c r="AF34">
        <v>1.5599999999999999E-2</v>
      </c>
      <c r="AH34">
        <v>1.88855</v>
      </c>
    </row>
    <row r="35" spans="1:34" x14ac:dyDescent="0.3">
      <c r="A35" t="s">
        <v>183</v>
      </c>
      <c r="B35" s="49" t="s">
        <v>211</v>
      </c>
      <c r="C35" t="s">
        <v>90</v>
      </c>
      <c r="D35" s="5">
        <v>46017</v>
      </c>
      <c r="E35">
        <v>20551226</v>
      </c>
      <c r="F35">
        <v>110994</v>
      </c>
      <c r="G35" t="s">
        <v>135</v>
      </c>
      <c r="H35" t="s">
        <v>136</v>
      </c>
      <c r="I35" t="s">
        <v>268</v>
      </c>
      <c r="J35" t="s">
        <v>93</v>
      </c>
      <c r="K35" s="48">
        <v>50426666666</v>
      </c>
      <c r="L35" s="48">
        <v>0</v>
      </c>
      <c r="M35" s="48">
        <v>0</v>
      </c>
      <c r="N35" s="48">
        <v>50000000000</v>
      </c>
      <c r="O35" s="48">
        <v>0</v>
      </c>
      <c r="P35" s="48">
        <v>0</v>
      </c>
      <c r="Q35" s="48">
        <v>0</v>
      </c>
      <c r="R35" s="48">
        <v>426666666</v>
      </c>
      <c r="S35" t="s">
        <v>94</v>
      </c>
      <c r="T35" t="s">
        <v>94</v>
      </c>
      <c r="U35">
        <v>4.8</v>
      </c>
      <c r="X35" t="s">
        <v>95</v>
      </c>
      <c r="Y35" t="s">
        <v>96</v>
      </c>
      <c r="Z35" t="s">
        <v>97</v>
      </c>
      <c r="AA35" t="s">
        <v>98</v>
      </c>
      <c r="AB35" t="s">
        <v>137</v>
      </c>
      <c r="AC35" t="s">
        <v>138</v>
      </c>
      <c r="AD35">
        <v>10893</v>
      </c>
      <c r="AE35" s="48">
        <v>50000000000</v>
      </c>
      <c r="AF35">
        <v>7.825E-2</v>
      </c>
      <c r="AH35">
        <v>1</v>
      </c>
    </row>
    <row r="36" spans="1:34" x14ac:dyDescent="0.3">
      <c r="A36" t="s">
        <v>185</v>
      </c>
      <c r="B36" s="49" t="s">
        <v>211</v>
      </c>
      <c r="C36" t="s">
        <v>90</v>
      </c>
      <c r="D36" s="5">
        <v>46055</v>
      </c>
      <c r="E36">
        <v>20290430</v>
      </c>
      <c r="F36">
        <v>110995</v>
      </c>
      <c r="G36" t="s">
        <v>139</v>
      </c>
      <c r="H36" t="s">
        <v>140</v>
      </c>
      <c r="I36" t="s">
        <v>269</v>
      </c>
      <c r="J36" t="s">
        <v>93</v>
      </c>
      <c r="K36" s="48">
        <v>20051715067</v>
      </c>
      <c r="L36" s="48">
        <v>0</v>
      </c>
      <c r="M36" s="48">
        <v>20038160000</v>
      </c>
      <c r="N36" s="48">
        <v>19990054795</v>
      </c>
      <c r="O36" s="48">
        <v>-13555067</v>
      </c>
      <c r="P36" s="48">
        <v>0</v>
      </c>
      <c r="Q36" s="48">
        <v>9945205</v>
      </c>
      <c r="R36" s="48">
        <v>51715067</v>
      </c>
      <c r="S36" t="s">
        <v>94</v>
      </c>
      <c r="T36" t="s">
        <v>94</v>
      </c>
      <c r="U36">
        <v>3.63</v>
      </c>
      <c r="X36" t="s">
        <v>132</v>
      </c>
      <c r="Y36" t="s">
        <v>96</v>
      </c>
      <c r="Z36" t="s">
        <v>141</v>
      </c>
      <c r="AA36" t="s">
        <v>142</v>
      </c>
      <c r="AB36" t="s">
        <v>133</v>
      </c>
      <c r="AC36" t="s">
        <v>134</v>
      </c>
      <c r="AD36">
        <v>1157</v>
      </c>
      <c r="AE36" s="48">
        <v>19976499728</v>
      </c>
      <c r="AF36">
        <v>3.1260000000000003E-2</v>
      </c>
      <c r="AH36">
        <v>2.5032399999999999</v>
      </c>
    </row>
    <row r="37" spans="1:34" x14ac:dyDescent="0.3">
      <c r="A37" t="s">
        <v>186</v>
      </c>
      <c r="B37" s="49" t="s">
        <v>211</v>
      </c>
      <c r="C37" t="s">
        <v>90</v>
      </c>
      <c r="D37" s="5">
        <v>46010</v>
      </c>
      <c r="E37">
        <v>20260303</v>
      </c>
      <c r="F37">
        <v>130914</v>
      </c>
      <c r="G37" t="s">
        <v>143</v>
      </c>
      <c r="H37" t="s">
        <v>224</v>
      </c>
      <c r="I37" t="s">
        <v>270</v>
      </c>
      <c r="J37" t="s">
        <v>93</v>
      </c>
      <c r="K37" s="48">
        <v>5002710958</v>
      </c>
      <c r="L37" s="48">
        <v>0</v>
      </c>
      <c r="M37" s="48">
        <v>4999189954</v>
      </c>
      <c r="N37" s="48">
        <v>4965460274</v>
      </c>
      <c r="O37" s="48">
        <v>-3521004</v>
      </c>
      <c r="P37" s="48">
        <v>38824657</v>
      </c>
      <c r="Q37" s="48">
        <v>0</v>
      </c>
      <c r="R37" s="48">
        <v>37250684</v>
      </c>
      <c r="S37" t="s">
        <v>94</v>
      </c>
      <c r="T37" t="s">
        <v>94</v>
      </c>
      <c r="U37">
        <v>3.83</v>
      </c>
      <c r="X37" t="s">
        <v>95</v>
      </c>
      <c r="Y37" t="s">
        <v>145</v>
      </c>
      <c r="Z37" t="s">
        <v>141</v>
      </c>
      <c r="AA37" t="s">
        <v>142</v>
      </c>
      <c r="AB37" t="s">
        <v>146</v>
      </c>
      <c r="AC37" t="s">
        <v>147</v>
      </c>
      <c r="AD37">
        <v>3</v>
      </c>
      <c r="AE37" s="48">
        <v>5000763927</v>
      </c>
      <c r="AF37">
        <v>7.8200000000000006E-3</v>
      </c>
      <c r="AH37">
        <v>6.6600000000000001E-3</v>
      </c>
    </row>
    <row r="38" spans="1:34" x14ac:dyDescent="0.3">
      <c r="A38" t="s">
        <v>186</v>
      </c>
      <c r="B38" s="49" t="s">
        <v>211</v>
      </c>
      <c r="C38" t="s">
        <v>90</v>
      </c>
      <c r="D38" s="5">
        <v>46010</v>
      </c>
      <c r="E38">
        <v>20260303</v>
      </c>
      <c r="F38">
        <v>130914</v>
      </c>
      <c r="G38" t="s">
        <v>143</v>
      </c>
      <c r="H38" t="s">
        <v>225</v>
      </c>
      <c r="I38" t="s">
        <v>271</v>
      </c>
      <c r="J38" t="s">
        <v>93</v>
      </c>
      <c r="K38" s="48">
        <v>5002710958</v>
      </c>
      <c r="L38" s="48">
        <v>0</v>
      </c>
      <c r="M38" s="48">
        <v>4999189954</v>
      </c>
      <c r="N38" s="48">
        <v>4965460274</v>
      </c>
      <c r="O38" s="48">
        <v>-3521004</v>
      </c>
      <c r="P38" s="48">
        <v>38824657</v>
      </c>
      <c r="Q38" s="48">
        <v>0</v>
      </c>
      <c r="R38" s="48">
        <v>37250684</v>
      </c>
      <c r="S38" t="s">
        <v>94</v>
      </c>
      <c r="T38" t="s">
        <v>94</v>
      </c>
      <c r="U38">
        <v>3.83</v>
      </c>
      <c r="X38" t="s">
        <v>95</v>
      </c>
      <c r="Y38" t="s">
        <v>145</v>
      </c>
      <c r="Z38" t="s">
        <v>141</v>
      </c>
      <c r="AA38" t="s">
        <v>142</v>
      </c>
      <c r="AB38" t="s">
        <v>146</v>
      </c>
      <c r="AC38" t="s">
        <v>147</v>
      </c>
      <c r="AD38">
        <v>3</v>
      </c>
      <c r="AE38" s="48">
        <v>5000763927</v>
      </c>
      <c r="AF38">
        <v>7.8200000000000006E-3</v>
      </c>
      <c r="AH38">
        <v>6.6600000000000001E-3</v>
      </c>
    </row>
    <row r="39" spans="1:34" x14ac:dyDescent="0.3">
      <c r="A39" t="s">
        <v>186</v>
      </c>
      <c r="B39" s="49" t="s">
        <v>211</v>
      </c>
      <c r="C39" t="s">
        <v>90</v>
      </c>
      <c r="D39" s="5">
        <v>46010</v>
      </c>
      <c r="E39">
        <v>20260303</v>
      </c>
      <c r="F39">
        <v>130914</v>
      </c>
      <c r="G39" t="s">
        <v>143</v>
      </c>
      <c r="H39" t="s">
        <v>226</v>
      </c>
      <c r="I39" t="s">
        <v>272</v>
      </c>
      <c r="J39" t="s">
        <v>93</v>
      </c>
      <c r="K39" s="48">
        <v>5002710958</v>
      </c>
      <c r="L39" s="48">
        <v>0</v>
      </c>
      <c r="M39" s="48">
        <v>4999189954</v>
      </c>
      <c r="N39" s="48">
        <v>4965460274</v>
      </c>
      <c r="O39" s="48">
        <v>-3521004</v>
      </c>
      <c r="P39" s="48">
        <v>38824657</v>
      </c>
      <c r="Q39" s="48">
        <v>0</v>
      </c>
      <c r="R39" s="48">
        <v>37250684</v>
      </c>
      <c r="S39" t="s">
        <v>94</v>
      </c>
      <c r="T39" t="s">
        <v>94</v>
      </c>
      <c r="U39">
        <v>3.83</v>
      </c>
      <c r="X39" t="s">
        <v>95</v>
      </c>
      <c r="Y39" t="s">
        <v>145</v>
      </c>
      <c r="Z39" t="s">
        <v>141</v>
      </c>
      <c r="AA39" t="s">
        <v>142</v>
      </c>
      <c r="AB39" t="s">
        <v>146</v>
      </c>
      <c r="AC39" t="s">
        <v>147</v>
      </c>
      <c r="AD39">
        <v>3</v>
      </c>
      <c r="AE39" s="48">
        <v>5000763927</v>
      </c>
      <c r="AF39">
        <v>7.8200000000000006E-3</v>
      </c>
      <c r="AH39">
        <v>6.6600000000000001E-3</v>
      </c>
    </row>
    <row r="40" spans="1:34" x14ac:dyDescent="0.3">
      <c r="A40" t="s">
        <v>186</v>
      </c>
      <c r="B40" s="49" t="s">
        <v>211</v>
      </c>
      <c r="C40" t="s">
        <v>90</v>
      </c>
      <c r="D40" s="5">
        <v>46010</v>
      </c>
      <c r="E40">
        <v>20260303</v>
      </c>
      <c r="F40">
        <v>130914</v>
      </c>
      <c r="G40" t="s">
        <v>143</v>
      </c>
      <c r="H40" t="s">
        <v>227</v>
      </c>
      <c r="I40" t="s">
        <v>273</v>
      </c>
      <c r="J40" t="s">
        <v>93</v>
      </c>
      <c r="K40" s="48">
        <v>5002710958</v>
      </c>
      <c r="L40" s="48">
        <v>0</v>
      </c>
      <c r="M40" s="48">
        <v>4999189954</v>
      </c>
      <c r="N40" s="48">
        <v>4965460274</v>
      </c>
      <c r="O40" s="48">
        <v>-3521004</v>
      </c>
      <c r="P40" s="48">
        <v>38824657</v>
      </c>
      <c r="Q40" s="48">
        <v>0</v>
      </c>
      <c r="R40" s="48">
        <v>37250684</v>
      </c>
      <c r="S40" t="s">
        <v>94</v>
      </c>
      <c r="T40" t="s">
        <v>94</v>
      </c>
      <c r="U40">
        <v>3.83</v>
      </c>
      <c r="X40" t="s">
        <v>95</v>
      </c>
      <c r="Y40" t="s">
        <v>145</v>
      </c>
      <c r="Z40" t="s">
        <v>141</v>
      </c>
      <c r="AA40" t="s">
        <v>142</v>
      </c>
      <c r="AB40" t="s">
        <v>146</v>
      </c>
      <c r="AC40" t="s">
        <v>147</v>
      </c>
      <c r="AD40">
        <v>3</v>
      </c>
      <c r="AE40" s="48">
        <v>5000763927</v>
      </c>
      <c r="AF40">
        <v>7.8200000000000006E-3</v>
      </c>
      <c r="AH40">
        <v>6.6600000000000001E-3</v>
      </c>
    </row>
    <row r="41" spans="1:34" x14ac:dyDescent="0.3">
      <c r="A41" t="s">
        <v>186</v>
      </c>
      <c r="B41" s="49" t="s">
        <v>211</v>
      </c>
      <c r="C41" t="s">
        <v>90</v>
      </c>
      <c r="D41" s="5">
        <v>46050</v>
      </c>
      <c r="E41">
        <v>20260416</v>
      </c>
      <c r="F41">
        <v>130914</v>
      </c>
      <c r="G41" t="s">
        <v>143</v>
      </c>
      <c r="H41" t="s">
        <v>148</v>
      </c>
      <c r="I41" t="s">
        <v>274</v>
      </c>
      <c r="J41" t="s">
        <v>93</v>
      </c>
      <c r="K41" s="48">
        <v>9950424658</v>
      </c>
      <c r="L41" s="48">
        <v>0</v>
      </c>
      <c r="M41" s="48">
        <v>9953579908</v>
      </c>
      <c r="N41" s="48">
        <v>9917726028</v>
      </c>
      <c r="O41" s="48">
        <v>3155250</v>
      </c>
      <c r="P41" s="48">
        <v>82273972</v>
      </c>
      <c r="Q41" s="48">
        <v>0</v>
      </c>
      <c r="R41" s="48">
        <v>32698630</v>
      </c>
      <c r="S41" t="s">
        <v>144</v>
      </c>
      <c r="T41" t="s">
        <v>94</v>
      </c>
      <c r="U41">
        <v>3.85</v>
      </c>
      <c r="X41" t="s">
        <v>95</v>
      </c>
      <c r="Y41" t="s">
        <v>145</v>
      </c>
      <c r="Z41" t="s">
        <v>141</v>
      </c>
      <c r="AA41" t="s">
        <v>142</v>
      </c>
      <c r="AB41" t="s">
        <v>146</v>
      </c>
      <c r="AC41" t="s">
        <v>147</v>
      </c>
      <c r="AD41">
        <v>47</v>
      </c>
      <c r="AE41" s="48">
        <v>10003155250</v>
      </c>
      <c r="AF41">
        <v>1.5650000000000001E-2</v>
      </c>
      <c r="AH41">
        <v>0.12266000000000001</v>
      </c>
    </row>
    <row r="42" spans="1:34" x14ac:dyDescent="0.3">
      <c r="A42" t="s">
        <v>186</v>
      </c>
      <c r="B42" s="49" t="s">
        <v>211</v>
      </c>
      <c r="C42" t="s">
        <v>90</v>
      </c>
      <c r="D42" s="5">
        <v>46027</v>
      </c>
      <c r="E42">
        <v>20260305</v>
      </c>
      <c r="F42">
        <v>130914</v>
      </c>
      <c r="G42" t="s">
        <v>143</v>
      </c>
      <c r="H42" t="s">
        <v>228</v>
      </c>
      <c r="I42" t="s">
        <v>275</v>
      </c>
      <c r="J42" t="s">
        <v>93</v>
      </c>
      <c r="K42" s="48">
        <v>4997431507</v>
      </c>
      <c r="L42" s="48">
        <v>0</v>
      </c>
      <c r="M42" s="48">
        <v>4998173515</v>
      </c>
      <c r="N42" s="48">
        <v>4969691781</v>
      </c>
      <c r="O42" s="48">
        <v>742008</v>
      </c>
      <c r="P42" s="48">
        <v>30308219</v>
      </c>
      <c r="Q42" s="48">
        <v>0</v>
      </c>
      <c r="R42" s="48">
        <v>27739726</v>
      </c>
      <c r="S42" t="s">
        <v>94</v>
      </c>
      <c r="T42" t="s">
        <v>94</v>
      </c>
      <c r="U42">
        <v>3.75</v>
      </c>
      <c r="X42" t="s">
        <v>95</v>
      </c>
      <c r="Y42" t="s">
        <v>145</v>
      </c>
      <c r="Z42" t="s">
        <v>141</v>
      </c>
      <c r="AA42" t="s">
        <v>142</v>
      </c>
      <c r="AB42" t="s">
        <v>146</v>
      </c>
      <c r="AC42" t="s">
        <v>147</v>
      </c>
      <c r="AD42">
        <v>5</v>
      </c>
      <c r="AE42" s="48">
        <v>5000742008</v>
      </c>
      <c r="AF42">
        <v>7.8200000000000006E-3</v>
      </c>
      <c r="AH42">
        <v>1.166E-2</v>
      </c>
    </row>
    <row r="43" spans="1:34" x14ac:dyDescent="0.3">
      <c r="A43" t="s">
        <v>186</v>
      </c>
      <c r="B43" s="49" t="s">
        <v>211</v>
      </c>
      <c r="C43" t="s">
        <v>90</v>
      </c>
      <c r="D43" s="5">
        <v>46027</v>
      </c>
      <c r="E43">
        <v>20260305</v>
      </c>
      <c r="F43">
        <v>130914</v>
      </c>
      <c r="G43" t="s">
        <v>143</v>
      </c>
      <c r="H43" t="s">
        <v>229</v>
      </c>
      <c r="I43" t="s">
        <v>276</v>
      </c>
      <c r="J43" t="s">
        <v>93</v>
      </c>
      <c r="K43" s="48">
        <v>4997431507</v>
      </c>
      <c r="L43" s="48">
        <v>0</v>
      </c>
      <c r="M43" s="48">
        <v>4998173515</v>
      </c>
      <c r="N43" s="48">
        <v>4969691781</v>
      </c>
      <c r="O43" s="48">
        <v>742008</v>
      </c>
      <c r="P43" s="48">
        <v>30308219</v>
      </c>
      <c r="Q43" s="48">
        <v>0</v>
      </c>
      <c r="R43" s="48">
        <v>27739726</v>
      </c>
      <c r="S43" t="s">
        <v>94</v>
      </c>
      <c r="T43" t="s">
        <v>94</v>
      </c>
      <c r="U43">
        <v>3.75</v>
      </c>
      <c r="X43" t="s">
        <v>95</v>
      </c>
      <c r="Y43" t="s">
        <v>145</v>
      </c>
      <c r="Z43" t="s">
        <v>141</v>
      </c>
      <c r="AA43" t="s">
        <v>142</v>
      </c>
      <c r="AB43" t="s">
        <v>146</v>
      </c>
      <c r="AC43" t="s">
        <v>147</v>
      </c>
      <c r="AD43">
        <v>5</v>
      </c>
      <c r="AE43" s="48">
        <v>5000742008</v>
      </c>
      <c r="AF43">
        <v>7.8200000000000006E-3</v>
      </c>
      <c r="AH43">
        <v>1.166E-2</v>
      </c>
    </row>
    <row r="44" spans="1:34" x14ac:dyDescent="0.3">
      <c r="A44" t="s">
        <v>186</v>
      </c>
      <c r="B44" s="49" t="s">
        <v>211</v>
      </c>
      <c r="C44" t="s">
        <v>90</v>
      </c>
      <c r="D44" s="5">
        <v>46072</v>
      </c>
      <c r="E44">
        <v>20261218</v>
      </c>
      <c r="F44">
        <v>130914</v>
      </c>
      <c r="G44" t="s">
        <v>143</v>
      </c>
      <c r="H44" t="s">
        <v>149</v>
      </c>
      <c r="I44" t="s">
        <v>277</v>
      </c>
      <c r="J44" t="s">
        <v>93</v>
      </c>
      <c r="K44" s="48">
        <v>4855506850</v>
      </c>
      <c r="L44" s="48">
        <v>0</v>
      </c>
      <c r="M44" s="48">
        <v>4858266666</v>
      </c>
      <c r="N44" s="48">
        <v>4851068494</v>
      </c>
      <c r="O44" s="48">
        <v>2759816</v>
      </c>
      <c r="P44" s="48">
        <v>148931506</v>
      </c>
      <c r="Q44" s="48">
        <v>0</v>
      </c>
      <c r="R44" s="48">
        <v>4438356</v>
      </c>
      <c r="S44" t="s">
        <v>144</v>
      </c>
      <c r="T44" t="s">
        <v>144</v>
      </c>
      <c r="U44">
        <v>3.6</v>
      </c>
      <c r="X44" t="s">
        <v>95</v>
      </c>
      <c r="Y44" t="s">
        <v>145</v>
      </c>
      <c r="Z44" t="s">
        <v>141</v>
      </c>
      <c r="AA44" t="s">
        <v>142</v>
      </c>
      <c r="AB44" t="s">
        <v>146</v>
      </c>
      <c r="AC44" t="s">
        <v>147</v>
      </c>
      <c r="AD44">
        <v>293</v>
      </c>
      <c r="AE44" s="48">
        <v>5002759816</v>
      </c>
      <c r="AF44">
        <v>7.8200000000000006E-3</v>
      </c>
      <c r="AH44">
        <v>0.77366000000000001</v>
      </c>
    </row>
    <row r="45" spans="1:34" x14ac:dyDescent="0.3">
      <c r="A45" t="s">
        <v>186</v>
      </c>
      <c r="B45" s="49" t="s">
        <v>211</v>
      </c>
      <c r="C45" t="s">
        <v>90</v>
      </c>
      <c r="D45" s="5">
        <v>46072</v>
      </c>
      <c r="E45">
        <v>20261218</v>
      </c>
      <c r="F45">
        <v>130914</v>
      </c>
      <c r="G45" t="s">
        <v>143</v>
      </c>
      <c r="H45" t="s">
        <v>150</v>
      </c>
      <c r="I45" t="s">
        <v>278</v>
      </c>
      <c r="J45" t="s">
        <v>93</v>
      </c>
      <c r="K45" s="48">
        <v>4855506850</v>
      </c>
      <c r="L45" s="48">
        <v>0</v>
      </c>
      <c r="M45" s="48">
        <v>4858266666</v>
      </c>
      <c r="N45" s="48">
        <v>4851068494</v>
      </c>
      <c r="O45" s="48">
        <v>2759816</v>
      </c>
      <c r="P45" s="48">
        <v>148931506</v>
      </c>
      <c r="Q45" s="48">
        <v>0</v>
      </c>
      <c r="R45" s="48">
        <v>4438356</v>
      </c>
      <c r="S45" t="s">
        <v>144</v>
      </c>
      <c r="T45" t="s">
        <v>144</v>
      </c>
      <c r="U45">
        <v>3.6</v>
      </c>
      <c r="X45" t="s">
        <v>95</v>
      </c>
      <c r="Y45" t="s">
        <v>145</v>
      </c>
      <c r="Z45" t="s">
        <v>141</v>
      </c>
      <c r="AA45" t="s">
        <v>142</v>
      </c>
      <c r="AB45" t="s">
        <v>146</v>
      </c>
      <c r="AC45" t="s">
        <v>147</v>
      </c>
      <c r="AD45">
        <v>293</v>
      </c>
      <c r="AE45" s="48">
        <v>5002759816</v>
      </c>
      <c r="AF45">
        <v>7.8200000000000006E-3</v>
      </c>
      <c r="AH45">
        <v>0.77366000000000001</v>
      </c>
    </row>
    <row r="46" spans="1:34" x14ac:dyDescent="0.3">
      <c r="A46" t="s">
        <v>186</v>
      </c>
      <c r="B46" s="49" t="s">
        <v>211</v>
      </c>
      <c r="C46" t="s">
        <v>90</v>
      </c>
      <c r="D46" s="5">
        <v>46079</v>
      </c>
      <c r="E46">
        <v>20260304</v>
      </c>
      <c r="F46">
        <v>130914</v>
      </c>
      <c r="G46" t="s">
        <v>143</v>
      </c>
      <c r="H46" t="s">
        <v>230</v>
      </c>
      <c r="I46" t="s">
        <v>279</v>
      </c>
      <c r="J46" t="s">
        <v>93</v>
      </c>
      <c r="K46" s="48">
        <v>9997041096</v>
      </c>
      <c r="L46" s="48">
        <v>0</v>
      </c>
      <c r="M46" s="48">
        <v>9997769863</v>
      </c>
      <c r="N46" s="48">
        <v>9995561644</v>
      </c>
      <c r="O46" s="48">
        <v>728767</v>
      </c>
      <c r="P46" s="48">
        <v>4438356</v>
      </c>
      <c r="Q46" s="48">
        <v>0</v>
      </c>
      <c r="R46" s="48">
        <v>1479452</v>
      </c>
      <c r="S46" t="s">
        <v>94</v>
      </c>
      <c r="T46" t="s">
        <v>94</v>
      </c>
      <c r="U46">
        <v>2.7</v>
      </c>
      <c r="X46" t="s">
        <v>95</v>
      </c>
      <c r="Y46" t="s">
        <v>145</v>
      </c>
      <c r="Z46" t="s">
        <v>141</v>
      </c>
      <c r="AA46" t="s">
        <v>142</v>
      </c>
      <c r="AB46" t="s">
        <v>146</v>
      </c>
      <c r="AC46" t="s">
        <v>147</v>
      </c>
      <c r="AD46">
        <v>4</v>
      </c>
      <c r="AE46" s="48">
        <v>10000728767</v>
      </c>
      <c r="AF46">
        <v>1.5650000000000001E-2</v>
      </c>
      <c r="AH46">
        <v>9.6600000000000002E-3</v>
      </c>
    </row>
    <row r="47" spans="1:34" x14ac:dyDescent="0.3">
      <c r="A47" t="s">
        <v>186</v>
      </c>
      <c r="B47" s="49" t="s">
        <v>211</v>
      </c>
      <c r="C47" t="s">
        <v>90</v>
      </c>
      <c r="D47" s="5">
        <v>46079</v>
      </c>
      <c r="E47">
        <v>20260304</v>
      </c>
      <c r="F47">
        <v>130914</v>
      </c>
      <c r="G47" t="s">
        <v>143</v>
      </c>
      <c r="H47" t="s">
        <v>231</v>
      </c>
      <c r="I47" t="s">
        <v>280</v>
      </c>
      <c r="J47" t="s">
        <v>93</v>
      </c>
      <c r="K47" s="48">
        <v>9997041096</v>
      </c>
      <c r="L47" s="48">
        <v>0</v>
      </c>
      <c r="M47" s="48">
        <v>9997769863</v>
      </c>
      <c r="N47" s="48">
        <v>9995561644</v>
      </c>
      <c r="O47" s="48">
        <v>728767</v>
      </c>
      <c r="P47" s="48">
        <v>4438356</v>
      </c>
      <c r="Q47" s="48">
        <v>0</v>
      </c>
      <c r="R47" s="48">
        <v>1479452</v>
      </c>
      <c r="S47" t="s">
        <v>94</v>
      </c>
      <c r="T47" t="s">
        <v>94</v>
      </c>
      <c r="U47">
        <v>2.7</v>
      </c>
      <c r="X47" t="s">
        <v>95</v>
      </c>
      <c r="Y47" t="s">
        <v>145</v>
      </c>
      <c r="Z47" t="s">
        <v>141</v>
      </c>
      <c r="AA47" t="s">
        <v>142</v>
      </c>
      <c r="AB47" t="s">
        <v>146</v>
      </c>
      <c r="AC47" t="s">
        <v>147</v>
      </c>
      <c r="AD47">
        <v>4</v>
      </c>
      <c r="AE47" s="48">
        <v>10000728767</v>
      </c>
      <c r="AF47">
        <v>1.5650000000000001E-2</v>
      </c>
      <c r="AH47">
        <v>9.6600000000000002E-3</v>
      </c>
    </row>
    <row r="48" spans="1:34" x14ac:dyDescent="0.3">
      <c r="A48" t="s">
        <v>186</v>
      </c>
      <c r="B48" s="49" t="s">
        <v>211</v>
      </c>
      <c r="C48" t="s">
        <v>90</v>
      </c>
      <c r="D48" s="5">
        <v>46079</v>
      </c>
      <c r="E48">
        <v>20260304</v>
      </c>
      <c r="F48">
        <v>130914</v>
      </c>
      <c r="G48" t="s">
        <v>143</v>
      </c>
      <c r="H48" t="s">
        <v>232</v>
      </c>
      <c r="I48" t="s">
        <v>281</v>
      </c>
      <c r="J48" t="s">
        <v>93</v>
      </c>
      <c r="K48" s="48">
        <v>9997041096</v>
      </c>
      <c r="L48" s="48">
        <v>0</v>
      </c>
      <c r="M48" s="48">
        <v>9997769863</v>
      </c>
      <c r="N48" s="48">
        <v>9995561644</v>
      </c>
      <c r="O48" s="48">
        <v>728767</v>
      </c>
      <c r="P48" s="48">
        <v>4438356</v>
      </c>
      <c r="Q48" s="48">
        <v>0</v>
      </c>
      <c r="R48" s="48">
        <v>1479452</v>
      </c>
      <c r="S48" t="s">
        <v>94</v>
      </c>
      <c r="T48" t="s">
        <v>94</v>
      </c>
      <c r="U48">
        <v>2.7</v>
      </c>
      <c r="X48" t="s">
        <v>95</v>
      </c>
      <c r="Y48" t="s">
        <v>145</v>
      </c>
      <c r="Z48" t="s">
        <v>141</v>
      </c>
      <c r="AA48" t="s">
        <v>142</v>
      </c>
      <c r="AB48" t="s">
        <v>146</v>
      </c>
      <c r="AC48" t="s">
        <v>147</v>
      </c>
      <c r="AD48">
        <v>4</v>
      </c>
      <c r="AE48" s="48">
        <v>10000728767</v>
      </c>
      <c r="AF48">
        <v>1.5650000000000001E-2</v>
      </c>
      <c r="AH48">
        <v>9.6600000000000002E-3</v>
      </c>
    </row>
    <row r="49" spans="1:34" x14ac:dyDescent="0.3">
      <c r="A49" t="s">
        <v>187</v>
      </c>
      <c r="B49" s="49" t="s">
        <v>211</v>
      </c>
      <c r="C49" t="s">
        <v>90</v>
      </c>
      <c r="D49" s="5">
        <v>46078</v>
      </c>
      <c r="E49">
        <v>20260304</v>
      </c>
      <c r="F49">
        <v>130922</v>
      </c>
      <c r="G49" t="s">
        <v>151</v>
      </c>
      <c r="H49" t="s">
        <v>233</v>
      </c>
      <c r="I49" t="s">
        <v>284</v>
      </c>
      <c r="J49" t="s">
        <v>93</v>
      </c>
      <c r="K49" s="48">
        <v>4998520548</v>
      </c>
      <c r="L49" s="48">
        <v>0</v>
      </c>
      <c r="M49" s="48">
        <v>4998879452</v>
      </c>
      <c r="N49" s="48">
        <v>4997410959</v>
      </c>
      <c r="O49" s="48">
        <v>358904</v>
      </c>
      <c r="P49" s="48">
        <v>2589041</v>
      </c>
      <c r="Q49" s="48">
        <v>0</v>
      </c>
      <c r="R49" s="48">
        <v>1109589</v>
      </c>
      <c r="S49" t="s">
        <v>94</v>
      </c>
      <c r="T49" t="s">
        <v>94</v>
      </c>
      <c r="U49">
        <v>3.56</v>
      </c>
      <c r="X49" t="s">
        <v>110</v>
      </c>
      <c r="Y49" t="s">
        <v>145</v>
      </c>
      <c r="Z49" t="s">
        <v>141</v>
      </c>
      <c r="AA49" t="s">
        <v>142</v>
      </c>
      <c r="AB49" t="s">
        <v>153</v>
      </c>
      <c r="AC49" t="s">
        <v>154</v>
      </c>
      <c r="AD49">
        <v>4</v>
      </c>
      <c r="AE49" s="48">
        <v>5000358904</v>
      </c>
      <c r="AF49">
        <v>7.8200000000000006E-3</v>
      </c>
      <c r="AH49">
        <v>9.6600000000000002E-3</v>
      </c>
    </row>
    <row r="50" spans="1:34" x14ac:dyDescent="0.3">
      <c r="A50" t="s">
        <v>187</v>
      </c>
      <c r="B50" s="49" t="s">
        <v>211</v>
      </c>
      <c r="C50" t="s">
        <v>90</v>
      </c>
      <c r="D50" s="5">
        <v>46020</v>
      </c>
      <c r="E50">
        <v>20260324</v>
      </c>
      <c r="F50">
        <v>130922</v>
      </c>
      <c r="G50" t="s">
        <v>151</v>
      </c>
      <c r="H50" t="s">
        <v>152</v>
      </c>
      <c r="I50" t="s">
        <v>285</v>
      </c>
      <c r="J50" t="s">
        <v>93</v>
      </c>
      <c r="K50" s="48">
        <v>4992149314</v>
      </c>
      <c r="L50" s="48">
        <v>0</v>
      </c>
      <c r="M50" s="48">
        <v>4990863013</v>
      </c>
      <c r="N50" s="48">
        <v>4962986301</v>
      </c>
      <c r="O50" s="48">
        <v>-1286301</v>
      </c>
      <c r="P50" s="48">
        <v>40636986</v>
      </c>
      <c r="Q50" s="48">
        <v>0</v>
      </c>
      <c r="R50" s="48">
        <v>29163013</v>
      </c>
      <c r="S50" t="s">
        <v>94</v>
      </c>
      <c r="T50" t="s">
        <v>94</v>
      </c>
      <c r="U50">
        <v>3.49</v>
      </c>
      <c r="X50" t="s">
        <v>110</v>
      </c>
      <c r="Y50" t="s">
        <v>145</v>
      </c>
      <c r="Z50" t="s">
        <v>141</v>
      </c>
      <c r="AA50" t="s">
        <v>142</v>
      </c>
      <c r="AB50" t="s">
        <v>153</v>
      </c>
      <c r="AC50" t="s">
        <v>154</v>
      </c>
      <c r="AD50">
        <v>24</v>
      </c>
      <c r="AE50" s="48">
        <v>5002336986</v>
      </c>
      <c r="AF50">
        <v>7.8200000000000006E-3</v>
      </c>
      <c r="AH50">
        <v>6.2659999999999993E-2</v>
      </c>
    </row>
    <row r="51" spans="1:34" x14ac:dyDescent="0.3">
      <c r="A51" t="s">
        <v>187</v>
      </c>
      <c r="B51" s="49" t="s">
        <v>211</v>
      </c>
      <c r="C51" t="s">
        <v>90</v>
      </c>
      <c r="D51" s="5">
        <v>46020</v>
      </c>
      <c r="E51">
        <v>20260324</v>
      </c>
      <c r="F51">
        <v>130922</v>
      </c>
      <c r="G51" t="s">
        <v>151</v>
      </c>
      <c r="H51" t="s">
        <v>155</v>
      </c>
      <c r="I51" t="s">
        <v>286</v>
      </c>
      <c r="J51" t="s">
        <v>93</v>
      </c>
      <c r="K51" s="48">
        <v>4992149314</v>
      </c>
      <c r="L51" s="48">
        <v>0</v>
      </c>
      <c r="M51" s="48">
        <v>4990863013</v>
      </c>
      <c r="N51" s="48">
        <v>4962986301</v>
      </c>
      <c r="O51" s="48">
        <v>-1286301</v>
      </c>
      <c r="P51" s="48">
        <v>40636986</v>
      </c>
      <c r="Q51" s="48">
        <v>0</v>
      </c>
      <c r="R51" s="48">
        <v>29163013</v>
      </c>
      <c r="S51" t="s">
        <v>94</v>
      </c>
      <c r="T51" t="s">
        <v>94</v>
      </c>
      <c r="U51">
        <v>3.49</v>
      </c>
      <c r="X51" t="s">
        <v>110</v>
      </c>
      <c r="Y51" t="s">
        <v>145</v>
      </c>
      <c r="Z51" t="s">
        <v>141</v>
      </c>
      <c r="AA51" t="s">
        <v>142</v>
      </c>
      <c r="AB51" t="s">
        <v>153</v>
      </c>
      <c r="AC51" t="s">
        <v>154</v>
      </c>
      <c r="AD51">
        <v>24</v>
      </c>
      <c r="AE51" s="48">
        <v>5002336986</v>
      </c>
      <c r="AF51">
        <v>7.8200000000000006E-3</v>
      </c>
      <c r="AH51">
        <v>6.2659999999999993E-2</v>
      </c>
    </row>
    <row r="52" spans="1:34" x14ac:dyDescent="0.3">
      <c r="A52" t="s">
        <v>187</v>
      </c>
      <c r="B52" s="49" t="s">
        <v>211</v>
      </c>
      <c r="C52" t="s">
        <v>90</v>
      </c>
      <c r="D52" s="5">
        <v>46020</v>
      </c>
      <c r="E52">
        <v>20260324</v>
      </c>
      <c r="F52">
        <v>130922</v>
      </c>
      <c r="G52" t="s">
        <v>151</v>
      </c>
      <c r="H52" t="s">
        <v>156</v>
      </c>
      <c r="I52" t="s">
        <v>287</v>
      </c>
      <c r="J52" t="s">
        <v>93</v>
      </c>
      <c r="K52" s="48">
        <v>4992149314</v>
      </c>
      <c r="L52" s="48">
        <v>0</v>
      </c>
      <c r="M52" s="48">
        <v>4990863013</v>
      </c>
      <c r="N52" s="48">
        <v>4962986301</v>
      </c>
      <c r="O52" s="48">
        <v>-1286301</v>
      </c>
      <c r="P52" s="48">
        <v>40636986</v>
      </c>
      <c r="Q52" s="48">
        <v>0</v>
      </c>
      <c r="R52" s="48">
        <v>29163013</v>
      </c>
      <c r="S52" t="s">
        <v>94</v>
      </c>
      <c r="T52" t="s">
        <v>94</v>
      </c>
      <c r="U52">
        <v>3.49</v>
      </c>
      <c r="X52" t="s">
        <v>110</v>
      </c>
      <c r="Y52" t="s">
        <v>145</v>
      </c>
      <c r="Z52" t="s">
        <v>141</v>
      </c>
      <c r="AA52" t="s">
        <v>142</v>
      </c>
      <c r="AB52" t="s">
        <v>153</v>
      </c>
      <c r="AC52" t="s">
        <v>154</v>
      </c>
      <c r="AD52">
        <v>24</v>
      </c>
      <c r="AE52" s="48">
        <v>5002336986</v>
      </c>
      <c r="AF52">
        <v>7.8200000000000006E-3</v>
      </c>
      <c r="AH52">
        <v>6.2659999999999993E-2</v>
      </c>
    </row>
    <row r="53" spans="1:34" x14ac:dyDescent="0.3">
      <c r="A53" t="s">
        <v>186</v>
      </c>
      <c r="B53" s="49" t="s">
        <v>211</v>
      </c>
      <c r="C53" t="s">
        <v>90</v>
      </c>
      <c r="D53" s="5">
        <v>46073</v>
      </c>
      <c r="E53">
        <v>20260520</v>
      </c>
      <c r="F53">
        <v>230047</v>
      </c>
      <c r="G53" t="s">
        <v>157</v>
      </c>
      <c r="H53" t="s">
        <v>158</v>
      </c>
      <c r="I53" t="s">
        <v>288</v>
      </c>
      <c r="J53" t="s">
        <v>93</v>
      </c>
      <c r="K53" s="48">
        <v>8534156986</v>
      </c>
      <c r="L53" s="48">
        <v>0</v>
      </c>
      <c r="M53" s="48">
        <v>8535598173</v>
      </c>
      <c r="N53" s="48">
        <v>8527653973</v>
      </c>
      <c r="O53" s="48">
        <v>1441187</v>
      </c>
      <c r="P53" s="48">
        <v>72346027</v>
      </c>
      <c r="Q53" s="48">
        <v>0</v>
      </c>
      <c r="R53" s="48">
        <v>6503013</v>
      </c>
      <c r="S53" t="s">
        <v>94</v>
      </c>
      <c r="T53" t="s">
        <v>94</v>
      </c>
      <c r="U53">
        <v>3.45</v>
      </c>
      <c r="X53" t="s">
        <v>95</v>
      </c>
      <c r="Y53" t="s">
        <v>159</v>
      </c>
      <c r="Z53" t="s">
        <v>141</v>
      </c>
      <c r="AA53" t="s">
        <v>142</v>
      </c>
      <c r="AB53" t="s">
        <v>160</v>
      </c>
      <c r="AC53" t="s">
        <v>161</v>
      </c>
      <c r="AD53">
        <v>81</v>
      </c>
      <c r="AE53" s="48">
        <v>8601441187</v>
      </c>
      <c r="AF53">
        <v>1.346E-2</v>
      </c>
      <c r="AH53">
        <v>0.21299999999999999</v>
      </c>
    </row>
    <row r="54" spans="1:34" x14ac:dyDescent="0.3">
      <c r="A54" t="s">
        <v>186</v>
      </c>
      <c r="B54" s="49" t="s">
        <v>211</v>
      </c>
      <c r="C54" t="s">
        <v>90</v>
      </c>
      <c r="D54" s="5">
        <v>46058</v>
      </c>
      <c r="E54">
        <v>20260504</v>
      </c>
      <c r="F54">
        <v>230047</v>
      </c>
      <c r="G54" t="s">
        <v>157</v>
      </c>
      <c r="H54" t="s">
        <v>162</v>
      </c>
      <c r="I54" t="s">
        <v>282</v>
      </c>
      <c r="J54" t="s">
        <v>93</v>
      </c>
      <c r="K54" s="48">
        <v>4970616439</v>
      </c>
      <c r="L54" s="48">
        <v>0</v>
      </c>
      <c r="M54" s="48">
        <v>4971506849</v>
      </c>
      <c r="N54" s="48">
        <v>4960219179</v>
      </c>
      <c r="O54" s="48">
        <v>890410</v>
      </c>
      <c r="P54" s="48">
        <v>39780821</v>
      </c>
      <c r="Q54" s="48">
        <v>0</v>
      </c>
      <c r="R54" s="48">
        <v>10397260</v>
      </c>
      <c r="S54" t="s">
        <v>94</v>
      </c>
      <c r="T54" t="s">
        <v>94</v>
      </c>
      <c r="U54">
        <v>3.3</v>
      </c>
      <c r="X54" t="s">
        <v>95</v>
      </c>
      <c r="Y54" t="s">
        <v>159</v>
      </c>
      <c r="Z54" t="s">
        <v>141</v>
      </c>
      <c r="AA54" t="s">
        <v>142</v>
      </c>
      <c r="AB54" t="s">
        <v>160</v>
      </c>
      <c r="AC54" t="s">
        <v>161</v>
      </c>
      <c r="AD54">
        <v>65</v>
      </c>
      <c r="AE54" s="48">
        <v>5000890410</v>
      </c>
      <c r="AF54">
        <v>7.8200000000000006E-3</v>
      </c>
      <c r="AH54">
        <v>0.17100000000000001</v>
      </c>
    </row>
    <row r="55" spans="1:34" x14ac:dyDescent="0.3">
      <c r="A55" t="s">
        <v>186</v>
      </c>
      <c r="B55" s="49" t="s">
        <v>211</v>
      </c>
      <c r="C55" t="s">
        <v>90</v>
      </c>
      <c r="D55" s="5">
        <v>46015</v>
      </c>
      <c r="E55">
        <v>20260324</v>
      </c>
      <c r="F55">
        <v>230047</v>
      </c>
      <c r="G55" t="s">
        <v>157</v>
      </c>
      <c r="H55" t="s">
        <v>163</v>
      </c>
      <c r="I55" t="s">
        <v>283</v>
      </c>
      <c r="J55" t="s">
        <v>93</v>
      </c>
      <c r="K55" s="48">
        <v>16860265707</v>
      </c>
      <c r="L55" s="48">
        <v>0</v>
      </c>
      <c r="M55" s="48">
        <v>16863437351</v>
      </c>
      <c r="N55" s="48">
        <v>16742613927</v>
      </c>
      <c r="O55" s="48">
        <v>3171644</v>
      </c>
      <c r="P55" s="48">
        <v>160434246</v>
      </c>
      <c r="Q55" s="48">
        <v>0</v>
      </c>
      <c r="R55" s="48">
        <v>117651780</v>
      </c>
      <c r="S55" t="s">
        <v>94</v>
      </c>
      <c r="T55" t="s">
        <v>94</v>
      </c>
      <c r="U55">
        <v>3.85</v>
      </c>
      <c r="X55" t="s">
        <v>95</v>
      </c>
      <c r="Y55" t="s">
        <v>159</v>
      </c>
      <c r="Z55" t="s">
        <v>141</v>
      </c>
      <c r="AA55" t="s">
        <v>142</v>
      </c>
      <c r="AB55" t="s">
        <v>160</v>
      </c>
      <c r="AC55" t="s">
        <v>161</v>
      </c>
      <c r="AD55">
        <v>24</v>
      </c>
      <c r="AE55" s="48">
        <v>16906219817</v>
      </c>
      <c r="AF55">
        <v>2.6450000000000001E-2</v>
      </c>
      <c r="AH55">
        <v>6.2330000000000003E-2</v>
      </c>
    </row>
    <row r="56" spans="1:34" x14ac:dyDescent="0.3">
      <c r="A56" t="s">
        <v>185</v>
      </c>
      <c r="B56" s="49" t="s">
        <v>211</v>
      </c>
      <c r="C56" t="s">
        <v>90</v>
      </c>
      <c r="D56" s="5">
        <v>46008</v>
      </c>
      <c r="E56">
        <v>20260316</v>
      </c>
      <c r="F56">
        <v>230048</v>
      </c>
      <c r="G56" t="s">
        <v>164</v>
      </c>
      <c r="H56" t="s">
        <v>165</v>
      </c>
      <c r="I56" t="s">
        <v>289</v>
      </c>
      <c r="J56" t="s">
        <v>93</v>
      </c>
      <c r="K56" s="48">
        <v>9987016438</v>
      </c>
      <c r="L56" s="48">
        <v>0</v>
      </c>
      <c r="M56" s="48">
        <v>9986575342</v>
      </c>
      <c r="N56" s="48">
        <v>9910016438</v>
      </c>
      <c r="O56" s="48">
        <v>-441096</v>
      </c>
      <c r="P56" s="48">
        <v>93876712</v>
      </c>
      <c r="Q56" s="48">
        <v>0</v>
      </c>
      <c r="R56" s="48">
        <v>77000000</v>
      </c>
      <c r="S56" t="s">
        <v>94</v>
      </c>
      <c r="T56" t="s">
        <v>94</v>
      </c>
      <c r="U56">
        <v>3.85</v>
      </c>
      <c r="X56" t="s">
        <v>132</v>
      </c>
      <c r="Y56" t="s">
        <v>166</v>
      </c>
      <c r="Z56" t="s">
        <v>141</v>
      </c>
      <c r="AA56" t="s">
        <v>142</v>
      </c>
      <c r="AB56" t="s">
        <v>133</v>
      </c>
      <c r="AC56" t="s">
        <v>134</v>
      </c>
      <c r="AD56">
        <v>16</v>
      </c>
      <c r="AE56" s="48">
        <v>10003452054</v>
      </c>
      <c r="AF56">
        <v>1.5650000000000001E-2</v>
      </c>
      <c r="AH56">
        <v>4.1000000000000002E-2</v>
      </c>
    </row>
    <row r="57" spans="1:34" x14ac:dyDescent="0.3">
      <c r="A57" t="s">
        <v>185</v>
      </c>
      <c r="B57" s="49" t="s">
        <v>211</v>
      </c>
      <c r="C57" t="s">
        <v>90</v>
      </c>
      <c r="D57" s="5">
        <v>46076</v>
      </c>
      <c r="E57">
        <v>20260323</v>
      </c>
      <c r="F57">
        <v>230048</v>
      </c>
      <c r="G57" t="s">
        <v>164</v>
      </c>
      <c r="H57" t="s">
        <v>167</v>
      </c>
      <c r="I57" t="s">
        <v>290</v>
      </c>
      <c r="J57" t="s">
        <v>93</v>
      </c>
      <c r="K57" s="48">
        <v>14969753425</v>
      </c>
      <c r="L57" s="48">
        <v>0</v>
      </c>
      <c r="M57" s="48">
        <v>14971671232</v>
      </c>
      <c r="N57" s="48">
        <v>14963178083</v>
      </c>
      <c r="O57" s="48">
        <v>1917807</v>
      </c>
      <c r="P57" s="48">
        <v>36821917</v>
      </c>
      <c r="Q57" s="48">
        <v>0</v>
      </c>
      <c r="R57" s="48">
        <v>6575342</v>
      </c>
      <c r="S57" t="s">
        <v>94</v>
      </c>
      <c r="T57" t="s">
        <v>94</v>
      </c>
      <c r="U57">
        <v>3.2</v>
      </c>
      <c r="X57" t="s">
        <v>132</v>
      </c>
      <c r="Y57" t="s">
        <v>166</v>
      </c>
      <c r="Z57" t="s">
        <v>141</v>
      </c>
      <c r="AA57" t="s">
        <v>142</v>
      </c>
      <c r="AB57" t="s">
        <v>133</v>
      </c>
      <c r="AC57" t="s">
        <v>134</v>
      </c>
      <c r="AD57">
        <v>23</v>
      </c>
      <c r="AE57" s="48">
        <v>15001917807</v>
      </c>
      <c r="AF57">
        <v>2.3470000000000001E-2</v>
      </c>
      <c r="AH57">
        <v>5.9659999999999998E-2</v>
      </c>
    </row>
    <row r="58" spans="1:34" x14ac:dyDescent="0.3">
      <c r="A58" t="s">
        <v>187</v>
      </c>
      <c r="B58" s="49" t="s">
        <v>211</v>
      </c>
      <c r="C58" t="s">
        <v>90</v>
      </c>
      <c r="D58" s="5">
        <v>46079</v>
      </c>
      <c r="E58">
        <v>20260303</v>
      </c>
      <c r="F58">
        <v>230056</v>
      </c>
      <c r="G58" t="s">
        <v>234</v>
      </c>
      <c r="H58" t="s">
        <v>235</v>
      </c>
      <c r="I58" t="s">
        <v>291</v>
      </c>
      <c r="J58" t="s">
        <v>93</v>
      </c>
      <c r="K58" s="48">
        <v>19995660274</v>
      </c>
      <c r="L58" s="48">
        <v>0</v>
      </c>
      <c r="M58" s="48">
        <v>19997044748</v>
      </c>
      <c r="N58" s="48">
        <v>19992767124</v>
      </c>
      <c r="O58" s="48">
        <v>1384474</v>
      </c>
      <c r="P58" s="48">
        <v>7232876</v>
      </c>
      <c r="Q58" s="48">
        <v>0</v>
      </c>
      <c r="R58" s="48">
        <v>2893150</v>
      </c>
      <c r="S58" t="s">
        <v>94</v>
      </c>
      <c r="T58" t="s">
        <v>94</v>
      </c>
      <c r="U58">
        <v>2.64</v>
      </c>
      <c r="X58" t="s">
        <v>110</v>
      </c>
      <c r="Y58" t="s">
        <v>159</v>
      </c>
      <c r="Z58" t="s">
        <v>141</v>
      </c>
      <c r="AA58" t="s">
        <v>142</v>
      </c>
      <c r="AB58" t="s">
        <v>236</v>
      </c>
      <c r="AC58" t="s">
        <v>237</v>
      </c>
      <c r="AD58">
        <v>3</v>
      </c>
      <c r="AE58" s="48">
        <v>20001384474</v>
      </c>
      <c r="AF58">
        <v>3.1300000000000001E-2</v>
      </c>
      <c r="AH58">
        <v>6.6600000000000001E-3</v>
      </c>
    </row>
    <row r="59" spans="1:34" x14ac:dyDescent="0.3">
      <c r="A59" t="s">
        <v>187</v>
      </c>
      <c r="B59" s="49" t="s">
        <v>211</v>
      </c>
      <c r="C59" t="s">
        <v>90</v>
      </c>
      <c r="D59" s="5">
        <v>46009</v>
      </c>
      <c r="E59">
        <v>20260310</v>
      </c>
      <c r="F59">
        <v>230056</v>
      </c>
      <c r="G59" t="s">
        <v>234</v>
      </c>
      <c r="H59" t="s">
        <v>238</v>
      </c>
      <c r="I59" t="s">
        <v>292</v>
      </c>
      <c r="J59" t="s">
        <v>93</v>
      </c>
      <c r="K59" s="48">
        <v>14988363013</v>
      </c>
      <c r="L59" s="48">
        <v>0</v>
      </c>
      <c r="M59" s="48">
        <v>14988324657</v>
      </c>
      <c r="N59" s="48">
        <v>14880363013</v>
      </c>
      <c r="O59" s="48">
        <v>-38356</v>
      </c>
      <c r="P59" s="48">
        <v>123000000</v>
      </c>
      <c r="Q59" s="48">
        <v>0</v>
      </c>
      <c r="R59" s="48">
        <v>108000000</v>
      </c>
      <c r="S59" t="s">
        <v>94</v>
      </c>
      <c r="T59" t="s">
        <v>94</v>
      </c>
      <c r="U59">
        <v>3.65</v>
      </c>
      <c r="X59" t="s">
        <v>110</v>
      </c>
      <c r="Y59" t="s">
        <v>159</v>
      </c>
      <c r="Z59" t="s">
        <v>141</v>
      </c>
      <c r="AA59" t="s">
        <v>142</v>
      </c>
      <c r="AB59" t="s">
        <v>236</v>
      </c>
      <c r="AC59" t="s">
        <v>237</v>
      </c>
      <c r="AD59">
        <v>10</v>
      </c>
      <c r="AE59" s="48">
        <v>15003324657</v>
      </c>
      <c r="AF59">
        <v>2.3480000000000001E-2</v>
      </c>
      <c r="AH59">
        <v>2.5000000000000001E-2</v>
      </c>
    </row>
    <row r="60" spans="1:34" x14ac:dyDescent="0.3">
      <c r="A60" t="s">
        <v>188</v>
      </c>
      <c r="B60" s="49" t="s">
        <v>211</v>
      </c>
      <c r="C60" t="s">
        <v>90</v>
      </c>
      <c r="D60" s="5">
        <v>46045</v>
      </c>
      <c r="E60">
        <v>20260430</v>
      </c>
      <c r="F60">
        <v>300026</v>
      </c>
      <c r="G60" t="s">
        <v>168</v>
      </c>
      <c r="H60" t="s">
        <v>169</v>
      </c>
      <c r="I60" t="s">
        <v>293</v>
      </c>
      <c r="J60" t="s">
        <v>93</v>
      </c>
      <c r="K60" s="48">
        <v>18792770090</v>
      </c>
      <c r="L60" s="48">
        <v>18792770090</v>
      </c>
      <c r="M60" s="48">
        <v>18792770090</v>
      </c>
      <c r="N60" s="48">
        <v>0</v>
      </c>
      <c r="O60" s="48">
        <v>0</v>
      </c>
      <c r="P60" s="48">
        <v>0</v>
      </c>
      <c r="Q60" s="48">
        <v>0</v>
      </c>
      <c r="R60" s="48">
        <v>0</v>
      </c>
      <c r="S60" t="s">
        <v>144</v>
      </c>
      <c r="T60" t="s">
        <v>94</v>
      </c>
      <c r="U60">
        <v>6</v>
      </c>
      <c r="V60" t="s">
        <v>170</v>
      </c>
      <c r="W60" t="s">
        <v>171</v>
      </c>
      <c r="X60" t="s">
        <v>95</v>
      </c>
      <c r="Y60" t="s">
        <v>172</v>
      </c>
      <c r="Z60" t="s">
        <v>173</v>
      </c>
      <c r="AA60" t="s">
        <v>174</v>
      </c>
      <c r="AB60" t="s">
        <v>175</v>
      </c>
      <c r="AC60" t="s">
        <v>176</v>
      </c>
      <c r="AD60">
        <v>61</v>
      </c>
      <c r="AE60" s="48">
        <v>18792770090</v>
      </c>
      <c r="AF60">
        <v>2.9409999999999999E-2</v>
      </c>
      <c r="AH60">
        <v>0.16967706622879039</v>
      </c>
    </row>
    <row r="61" spans="1:34" x14ac:dyDescent="0.3">
      <c r="A61" t="s">
        <v>188</v>
      </c>
      <c r="B61" s="49" t="s">
        <v>211</v>
      </c>
      <c r="C61" t="s">
        <v>90</v>
      </c>
      <c r="D61" s="5">
        <v>46066</v>
      </c>
      <c r="E61">
        <v>20301223</v>
      </c>
      <c r="F61">
        <v>300021</v>
      </c>
      <c r="G61" t="s">
        <v>177</v>
      </c>
      <c r="H61" t="s">
        <v>178</v>
      </c>
      <c r="I61" t="s">
        <v>294</v>
      </c>
      <c r="J61" t="s">
        <v>93</v>
      </c>
      <c r="K61" s="48">
        <v>26500000000</v>
      </c>
      <c r="L61" s="48">
        <v>26500000000</v>
      </c>
      <c r="M61" s="48">
        <v>26500000000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  <c r="S61" t="s">
        <v>144</v>
      </c>
      <c r="T61" t="s">
        <v>144</v>
      </c>
      <c r="U61">
        <v>5.99</v>
      </c>
      <c r="V61" t="s">
        <v>179</v>
      </c>
      <c r="W61" t="s">
        <v>180</v>
      </c>
      <c r="X61" t="s">
        <v>95</v>
      </c>
      <c r="Y61" t="s">
        <v>172</v>
      </c>
      <c r="Z61" t="s">
        <v>173</v>
      </c>
      <c r="AA61" t="s">
        <v>174</v>
      </c>
      <c r="AB61" t="s">
        <v>175</v>
      </c>
      <c r="AC61" t="s">
        <v>176</v>
      </c>
      <c r="AD61">
        <v>1759</v>
      </c>
      <c r="AE61" s="48">
        <v>26500000000</v>
      </c>
      <c r="AF61">
        <v>4.147E-2</v>
      </c>
      <c r="AH61">
        <v>4.1098524490298738</v>
      </c>
    </row>
    <row r="62" spans="1:34" x14ac:dyDescent="0.3">
      <c r="A62" t="s">
        <v>188</v>
      </c>
      <c r="B62" s="49" t="s">
        <v>211</v>
      </c>
      <c r="C62" t="s">
        <v>90</v>
      </c>
      <c r="D62" s="5">
        <v>46066</v>
      </c>
      <c r="E62">
        <v>20301223</v>
      </c>
      <c r="F62">
        <v>300021</v>
      </c>
      <c r="G62" t="s">
        <v>177</v>
      </c>
      <c r="H62" t="s">
        <v>181</v>
      </c>
      <c r="I62" t="s">
        <v>295</v>
      </c>
      <c r="J62" t="s">
        <v>93</v>
      </c>
      <c r="K62" s="48">
        <v>3700000000</v>
      </c>
      <c r="L62" s="48">
        <v>3700000000</v>
      </c>
      <c r="M62" s="48">
        <v>3700000000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t="s">
        <v>144</v>
      </c>
      <c r="T62" t="s">
        <v>144</v>
      </c>
      <c r="U62">
        <v>5.44</v>
      </c>
      <c r="V62" t="s">
        <v>179</v>
      </c>
      <c r="W62" t="s">
        <v>182</v>
      </c>
      <c r="X62" t="s">
        <v>95</v>
      </c>
      <c r="Y62" t="s">
        <v>172</v>
      </c>
      <c r="Z62" t="s">
        <v>173</v>
      </c>
      <c r="AA62" t="s">
        <v>174</v>
      </c>
      <c r="AB62" t="s">
        <v>175</v>
      </c>
      <c r="AC62" t="s">
        <v>176</v>
      </c>
      <c r="AD62">
        <v>1759</v>
      </c>
      <c r="AE62" s="48">
        <v>3700000000</v>
      </c>
      <c r="AF62">
        <v>5.79E-3</v>
      </c>
      <c r="AH62">
        <v>4.1683709610558983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DASHBOARD</vt:lpstr>
      <vt:lpstr>1. 수신잔고</vt:lpstr>
      <vt:lpstr>2. 운용자산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kiwoom</dc:creator>
  <cp:lastModifiedBy>kiwoom</cp:lastModifiedBy>
  <dcterms:created xsi:type="dcterms:W3CDTF">2026-03-16T08:20:08Z</dcterms:created>
  <dcterms:modified xsi:type="dcterms:W3CDTF">2026-03-17T01:55:12Z</dcterms:modified>
</cp:coreProperties>
</file>